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2840"/>
  </bookViews>
  <sheets>
    <sheet name="计分规则总览" sheetId="1" r:id="rId1"/>
    <sheet name="详细评分细则" sheetId="2" r:id="rId2"/>
    <sheet name="工程门槛与Skill加分" sheetId="3" r:id="rId3"/>
    <sheet name="评委打分表(模板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<sst xmlns="http://schemas.openxmlformats.org/spreadsheetml/2006/main" count="305" uniqueCount="261">
  <si>
    <t>Hisun Vibe Coding 黑客松 · AI落地实践（第一阶段）计分规则表</t>
  </si>
  <si>
    <t>原则：① 工程为必选项——每组必须交付“可运行的产品/工具”作为评分载体；② Skill沉淀为加分项——须在完成工程交付的基础上方可计入；③ 6项交付物为准入门槛，缺项按会战计划限时补交，逾期不计入评优。</t>
  </si>
  <si>
    <t>一、计分结构（总分上限 115）</t>
  </si>
  <si>
    <t>模块</t>
  </si>
  <si>
    <t>评分维度</t>
  </si>
  <si>
    <t>满分 / 加分</t>
  </si>
  <si>
    <t>评分主体</t>
  </si>
  <si>
    <t>是否必选</t>
  </si>
  <si>
    <t>对应你关注的点</t>
  </si>
  <si>
    <t>工程基础分
(必选·满分100)</t>
  </si>
  <si>
    <t>A 项目实现（功能完成度·可运行）</t>
  </si>
  <si>
    <t>架构导师 + AI小组</t>
  </si>
  <si>
    <t>必选</t>
  </si>
  <si>
    <t>项目实现</t>
  </si>
  <si>
    <t>B 代码完整度（工程质量·交付完整）</t>
  </si>
  <si>
    <t>代码完整度</t>
  </si>
  <si>
    <t>C Harness（AI工具链·工程化运用）</t>
  </si>
  <si>
    <t>AI小组</t>
  </si>
  <si>
    <t>harness</t>
  </si>
  <si>
    <t>D 业务方需求评价（业务价值·满意度）</t>
  </si>
  <si>
    <t>业务方代表</t>
  </si>
  <si>
    <t>业务方对需求的评价</t>
  </si>
  <si>
    <t>小计</t>
  </si>
  <si>
    <t>基础分合计</t>
  </si>
  <si>
    <t>—</t>
  </si>
  <si>
    <t/>
  </si>
  <si>
    <t>加分项</t>
  </si>
  <si>
    <t>E Skill沉淀（可复用资产）</t>
  </si>
  <si>
    <t>+0~15</t>
  </si>
  <si>
    <t>AI小组 + 架构导师</t>
  </si>
  <si>
    <t>加分（须先有工程交付）</t>
  </si>
  <si>
    <t>工程基础上的加分项</t>
  </si>
  <si>
    <t>准入门槛</t>
  </si>
  <si>
    <t>6项交付物核查</t>
  </si>
  <si>
    <t>资格性</t>
  </si>
  <si>
    <t>AI小组核查</t>
  </si>
  <si>
    <t>一票否决 / 24h限时补交</t>
  </si>
  <si>
    <t>总分上限</t>
  </si>
  <si>
    <t>基础分100 + 加分15</t>
  </si>
  <si>
    <t>115</t>
  </si>
  <si>
    <t>二、评分主体与权重（呼应 Demo Day 路演评审）</t>
  </si>
  <si>
    <t>评分侧</t>
  </si>
  <si>
    <t>对应维度</t>
  </si>
  <si>
    <t>分值</t>
  </si>
  <si>
    <t>说明</t>
  </si>
  <si>
    <t>评委侧</t>
  </si>
  <si>
    <t>A + B + C</t>
  </si>
  <si>
    <t>架构导师 + AI小组，统一标准评审工程与AI运用</t>
  </si>
  <si>
    <t>业务方侧</t>
  </si>
  <si>
    <t>D</t>
  </si>
  <si>
    <t>业务方代表按《业务方反馈评分表》真实评分，不可代填</t>
  </si>
  <si>
    <t>加分复核</t>
  </si>
  <si>
    <t>E</t>
  </si>
  <si>
    <t>AI小组 + 架构导师复核 skill 沉淀的可复用性</t>
  </si>
  <si>
    <t>三、单项等级换算参考（每个评分项按满分比例取档）</t>
  </si>
  <si>
    <t>等级</t>
  </si>
  <si>
    <t>比例区间</t>
  </si>
  <si>
    <t>判定含义</t>
  </si>
  <si>
    <t>优秀</t>
  </si>
  <si>
    <t>90%–100%</t>
  </si>
  <si>
    <t>超出预期，可直接采用/推广</t>
  </si>
  <si>
    <t>良好</t>
  </si>
  <si>
    <t>75%–89%</t>
  </si>
  <si>
    <t>达标且较完整，少量改进点</t>
  </si>
  <si>
    <t>合格</t>
  </si>
  <si>
    <t>60%–74%</t>
  </si>
  <si>
    <t>基本可用，存在明显改进空间</t>
  </si>
  <si>
    <t>不合格</t>
  </si>
  <si>
    <t>&lt; 60%</t>
  </si>
  <si>
    <t>未达标 / 无法佐证</t>
  </si>
  <si>
    <t>四、排名与评优</t>
  </si>
  <si>
    <t>1) 进入评优须通过“6项交付物”准入门槛（见 Sheet《工程门槛与Skill加分》）。</t>
  </si>
  <si>
    <t>2) 综合总分 = 工程基础分(满分100) + Skill沉淀加分(≤15)。</t>
  </si>
  <si>
    <t>3) 按各赛道（A智能招聘 / B智能稽核 / C智能办公 / D智能运营 等）总分排名，评主赛道奖 3名×5赛道。</t>
  </si>
  <si>
    <t>4) 横向评选特别奖：最佳 Vibe / 最佳 Prompt / 最佳 AI 应用 等。</t>
  </si>
  <si>
    <t>5) 综合排名前 30% 纳入“AI 交付能力者名单”，作为第二阶段核心人选。</t>
  </si>
  <si>
    <t>五、与《事业部需求分类》的对应</t>
  </si>
  <si>
    <t>• “需要工程实现”类需求：直接按工程基础分100评，工程必做。</t>
  </si>
  <si>
    <t>• “skill沉淀实现”类需求：仍须有一个可运行的工程载体（产品/工具）作为基础分，其沉淀的 skill / 提示词包 / 工作流计入 E 加分。</t>
  </si>
  <si>
    <t>• “部门内部人工规范问题”类：若无可运行工程载体（纯方案/纯规范），不予计分；如参赛须先转化为可工程化命题。</t>
  </si>
  <si>
    <t>详细评分细则与评判标准（工程基础分 · 满分100）</t>
  </si>
  <si>
    <t>一级维度(权重)</t>
  </si>
  <si>
    <t>评分项</t>
  </si>
  <si>
    <t>评分项说明</t>
  </si>
  <si>
    <t>满分</t>
  </si>
  <si>
    <t>A 项目实现
(30分)
[项目实现]</t>
  </si>
  <si>
    <t>A1 核心功能完成度</t>
  </si>
  <si>
    <t>目标业务流程是否闭环跑通</t>
  </si>
  <si>
    <t>(11–12) 目标业务全流程闭环，覆盖主要场景与分支</t>
  </si>
  <si>
    <t>(9–10) 核心主流程可用，个别次要场景缺失</t>
  </si>
  <si>
    <t>(7–8) 仅打通 demo 级主路径，部分功能未实现</t>
  </si>
  <si>
    <t>(0–6) 关键流程跑不通 / 仅静态或伪功能</t>
  </si>
  <si>
    <t>A2 可运行与部署</t>
  </si>
  <si>
    <t>是否提供可访问链接或一键部署，演示是否稳定</t>
  </si>
  <si>
    <t>(8) 公开链接或一键部署包，演示环境稳定无崩溃</t>
  </si>
  <si>
    <t>(6–7) 可本地一键启动，少量手动步骤</t>
  </si>
  <si>
    <t>(5) 需较多手动配置，偶有不稳定</t>
  </si>
  <si>
    <t>(0–4) 无法独立运行 / 无部署产物</t>
  </si>
  <si>
    <t>A3 真实数据联调</t>
  </si>
  <si>
    <t>是否对接业务方真实数据跑通</t>
  </si>
  <si>
    <t>(6) 已接业务方真实数据并跑通完整流程</t>
  </si>
  <si>
    <t>(5) 接真实数据，部分流程用样例</t>
  </si>
  <si>
    <t>(4) 仅用脱敏/模拟数据跑通</t>
  </si>
  <si>
    <t>(0–3) 无数据联调 / 数据不可用</t>
  </si>
  <si>
    <t>A4 异常与边界处理</t>
  </si>
  <si>
    <t>异常、边界、容错是否处理</t>
  </si>
  <si>
    <t>(4) 主要异常/边界有处理与友好提示</t>
  </si>
  <si>
    <t>(3) 覆盖部分异常</t>
  </si>
  <si>
    <t>(2) 仅基础校验</t>
  </si>
  <si>
    <t>(0–1) 无任何异常处理</t>
  </si>
  <si>
    <t>B 代码完整度
(25分)
[代码完整度]</t>
  </si>
  <si>
    <t>B1 Git仓库与提交规范</t>
  </si>
  <si>
    <t>提交频次、commit信息、分支管理</t>
  </si>
  <si>
    <t>(5) 持续多次提交、commit清晰、分支/版本规范</t>
  </si>
  <si>
    <t>(4) 提交较规律，信息基本清晰</t>
  </si>
  <si>
    <t>(3) 提交较少/信息粗略，但有迭代痕迹</t>
  </si>
  <si>
    <t>(0–2) 仅1–2次大提交 / 无版本痕迹</t>
  </si>
  <si>
    <t>B2 README与可复现</t>
  </si>
  <si>
    <t>他人能否据 README 一键复现</t>
  </si>
  <si>
    <t>(6) README含架构图、启动方式、依赖配置，可一键复现</t>
  </si>
  <si>
    <t>(5) 启动说明完整，缺架构或配置细节</t>
  </si>
  <si>
    <t>(4) 有基础说明，复现需摸索</t>
  </si>
  <si>
    <t>(0–3) 无README / 无法复现</t>
  </si>
  <si>
    <t>B3 代码质量</t>
  </si>
  <si>
    <t>结构、命名、可读性、冗余</t>
  </si>
  <si>
    <t>(8) 结构清晰分层合理、命名规范、关键逻辑可读、无大量死代码</t>
  </si>
  <si>
    <t>(6–7) 整体规范，局部冗余或耦合</t>
  </si>
  <si>
    <t>(5) 能用但结构松散、可读性一般</t>
  </si>
  <si>
    <t>(0–4) 大量复制粘贴/混乱难维护</t>
  </si>
  <si>
    <t>B4 工程化与可维护</t>
  </si>
  <si>
    <t>配置分离、部署脚本、测试/自检</t>
  </si>
  <si>
    <t>(6) 配置与环境分离、含部署脚本、有必要测试或自检</t>
  </si>
  <si>
    <t>(5) 有部分工程化措施</t>
  </si>
  <si>
    <t>(4) 基本能跑但缺工程化</t>
  </si>
  <si>
    <t>(0–3) 无任何工程化考虑</t>
  </si>
  <si>
    <t>C Harness
(25分)
[AI工具链·工程化运用]</t>
  </si>
  <si>
    <t>C1 统一AI工具规范使用</t>
  </si>
  <si>
    <t>是否按规定使用统一AI编程工具与版本</t>
  </si>
  <si>
    <t>(5) 全程用统一规定工具(Claude Code/Cursor等)，符合token与环境规范</t>
  </si>
  <si>
    <t>(4) 主体使用规定工具，少量偏离</t>
  </si>
  <si>
    <t>(3) 部分环节使用</t>
  </si>
  <si>
    <t>(0–2) 基本未使用 / 无法佐证</t>
  </si>
  <si>
    <t>C2 Prompt工程质量</t>
  </si>
  <si>
    <t>提示设计的结构化与迭代</t>
  </si>
  <si>
    <t>(6) 结构化、可复用的提示设计，有约定记录与迭代优化痕迹</t>
  </si>
  <si>
    <t>(5) 提示较清晰，有一定迭代</t>
  </si>
  <si>
    <t>(4) 能用但较随意</t>
  </si>
  <si>
    <t>(0–3) 无有效 prompt 沉淀</t>
  </si>
  <si>
    <t>C3 工具链/Agent编排深度</t>
  </si>
  <si>
    <t>MCP/skill/hooks/子agent/自动化组合，AI是否主导</t>
  </si>
  <si>
    <t>(8) 充分组合MCP/skill/hooks/子agent/自动化脚本，AI在开发中起主导作用</t>
  </si>
  <si>
    <t>(6–7) 运用多种AI能力，组合较合理</t>
  </si>
  <si>
    <t>(5) 仅基础对话式编码</t>
  </si>
  <si>
    <t>(0–4) AI运用浅、以人工为主</t>
  </si>
  <si>
    <t>C4 AI协作记录完整度</t>
  </si>
  <si>
    <t>prompts+对话+代码AI占比是否可追溯</t>
  </si>
  <si>
    <t>(6) 记录完整可追溯，达成代码AI占比要求</t>
  </si>
  <si>
    <t>(5) 记录较完整，占比可估算</t>
  </si>
  <si>
    <t>(4) 记录零散</t>
  </si>
  <si>
    <t>(0–3) 无协作记录 / 无法佐证AI主导</t>
  </si>
  <si>
    <t>D 业务方需求评价
(20分)
[业务方对需求的评价]</t>
  </si>
  <si>
    <t>D1 需求契合度</t>
  </si>
  <si>
    <t>是否命中业务方真实痛点</t>
  </si>
  <si>
    <t>(7–8) 精准命中真实痛点，可直接用于真实工作</t>
  </si>
  <si>
    <t>(6) 基本契合，少量偏差</t>
  </si>
  <si>
    <t>(5) 部分契合，需较多调整</t>
  </si>
  <si>
    <t>(0–4) 偏离真实需求</t>
  </si>
  <si>
    <t>D2 业务方满意度</t>
  </si>
  <si>
    <t>《业务方反馈评分表》真实评分(不可代填)</t>
  </si>
  <si>
    <t>(7–8) 业务方评分达优秀线，明确愿采用/推广</t>
  </si>
  <si>
    <t>(6) 满意，愿在改进后采用</t>
  </si>
  <si>
    <t>(5) 一般，需明显改进</t>
  </si>
  <si>
    <t>(0–4) 不满意 / 不可用</t>
  </si>
  <si>
    <t>D3 价值量化</t>
  </si>
  <si>
    <t>对照痛点的量化提升</t>
  </si>
  <si>
    <t>(4) 给出明确量化提升(耗时↓/出错率↓/人力↓)</t>
  </si>
  <si>
    <t>(3) 有量化但不充分</t>
  </si>
  <si>
    <t>(2) 仅定性描述</t>
  </si>
  <si>
    <t>(0–1) 无价值说明</t>
  </si>
  <si>
    <t>工程准入门槛（必选）与 Skill 沉淀加分（加分项）</t>
  </si>
  <si>
    <t>一、6项交付物 = 准入门槛（缺项=不合格组，按会战计划24h限时补交；逾期不计入评优）</t>
  </si>
  <si>
    <t>序</t>
  </si>
  <si>
    <t>必交交付物</t>
  </si>
  <si>
    <t>对应会战交付</t>
  </si>
  <si>
    <t>判定规则</t>
  </si>
  <si>
    <t>①</t>
  </si>
  <si>
    <t>可运行产品（公开链接 / 一键部署包）</t>
  </si>
  <si>
    <t>提交①</t>
  </si>
  <si>
    <t>核心项：缺失且未补交→A维度按不合格且取消评优资格</t>
  </si>
  <si>
    <t>②</t>
  </si>
  <si>
    <t>Git仓库最终版 + README</t>
  </si>
  <si>
    <t>提交②</t>
  </si>
  <si>
    <t>核心项：缺失→B维度归零</t>
  </si>
  <si>
    <t>③</t>
  </si>
  <si>
    <t>产品演示视频（3–5分钟，含团队介绍）</t>
  </si>
  <si>
    <t>提交③</t>
  </si>
  <si>
    <t>缺失→过程参与/资格扣分</t>
  </si>
  <si>
    <t>④</t>
  </si>
  <si>
    <t>PRD/实施计划文档定稿（含AI能力点说明）</t>
  </si>
  <si>
    <t>提交④</t>
  </si>
  <si>
    <t>缺失→限时补交</t>
  </si>
  <si>
    <t>⑤</t>
  </si>
  <si>
    <t>AI协作记录完整版（prompts+对话+代码AI占比）</t>
  </si>
  <si>
    <t>提交⑤</t>
  </si>
  <si>
    <t>核心项：缺失→C维度封顶合格线，无法佐证AI主导取消资格</t>
  </si>
  <si>
    <t>⑥</t>
  </si>
  <si>
    <t>业务方反馈评分表（真实评分，不可代填）</t>
  </si>
  <si>
    <t>提交⑥</t>
  </si>
  <si>
    <t>核心项：缺失→D维度归零</t>
  </si>
  <si>
    <t>二、工程必选说明</t>
  </si>
  <si>
    <t>• 任何赛题都必须交付“可工程化运行的产品/工具”作为基础分(100分)的载体。</t>
  </si>
  <si>
    <t>• 纯方案 / 纯文档 / 纯流程规范（无可运行工程载体）不予计分。</t>
  </si>
  <si>
    <t>• 工程基础分须 ≥60 分且通过门槛，Skill 加分方可计入。</t>
  </si>
  <si>
    <t>三、Skill 沉淀加分细则（+0~15，前提：通过门槛且基础分≥60）</t>
  </si>
  <si>
    <t>项</t>
  </si>
  <si>
    <t>评判标准（分档）</t>
  </si>
  <si>
    <t>E1</t>
  </si>
  <si>
    <t>可复用 skill / 工作流沉淀</t>
  </si>
  <si>
    <t>+0~8</t>
  </si>
  <si>
    <t>+7~8 形成≥1个高质量、开箱即用的复用资产(Claude Code skill/提示词模板/脚本包/检查清单)；+4~6 有资产需打磨；+1~3 仅雏形；0 无</t>
  </si>
  <si>
    <t>E2</t>
  </si>
  <si>
    <t>通用性与可推广</t>
  </si>
  <si>
    <t>+0~4</t>
  </si>
  <si>
    <t>+4 跨场景通用且文档完善；+2~3 有一定通用性；+1 仅本场景可复用；0 无</t>
  </si>
  <si>
    <t>E3</t>
  </si>
  <si>
    <t>纳入公司资产库</t>
  </si>
  <si>
    <t>+0~3</t>
  </si>
  <si>
    <t>+3 已收录 prompts库/最佳实践手册并被采纳；+1~2 已提交待收录；0 未提交</t>
  </si>
  <si>
    <t>说明：呼应《事业部需求分类》——“skill沉淀实现”类需求的核心产物计入此处；“需要工程实现”类需求若额外沉淀通用skill同样可获加分。无工程交付，加分不计。</t>
  </si>
  <si>
    <t>评委打分表（每组一份 · 复制使用）</t>
  </si>
  <si>
    <t>赛道：</t>
  </si>
  <si>
    <t>组别 / 项目：</t>
  </si>
  <si>
    <t>评委：</t>
  </si>
  <si>
    <t>日期：</t>
  </si>
  <si>
    <t>准入门槛核查（任一“否”→限时补交）</t>
  </si>
  <si>
    <t>交付物</t>
  </si>
  <si>
    <t>是/否</t>
  </si>
  <si>
    <t>备注</t>
  </si>
  <si>
    <t>可运行产品</t>
  </si>
  <si>
    <t>Git+README</t>
  </si>
  <si>
    <t>演示视频</t>
  </si>
  <si>
    <t>PRD定稿</t>
  </si>
  <si>
    <t>AI协作记录</t>
  </si>
  <si>
    <t>业务方评分表</t>
  </si>
  <si>
    <t>维度</t>
  </si>
  <si>
    <t>得分</t>
  </si>
  <si>
    <t>评语</t>
  </si>
  <si>
    <t>A 项目实现</t>
  </si>
  <si>
    <t>B 代码完整度</t>
  </si>
  <si>
    <t>B1 Git与提交规范</t>
  </si>
  <si>
    <t>C Harness</t>
  </si>
  <si>
    <t>D 业务方评价</t>
  </si>
  <si>
    <t>工程基础分小计 (满分100)</t>
  </si>
  <si>
    <t>加分</t>
  </si>
  <si>
    <t>E Skill沉淀加分项</t>
  </si>
  <si>
    <t>E1 可复用skill/工作流</t>
  </si>
  <si>
    <t>E2 通用性与可推广</t>
  </si>
  <si>
    <t>E3 纳入公司资产库</t>
  </si>
  <si>
    <t>Skill加分小计 (≤15)</t>
  </si>
  <si>
    <t>综合总分 = 基础分 + 加分 (上限115)</t>
  </si>
  <si>
    <t>注：黄色单元格为评委填写区；得分按《详细评分细则》各档位区间打分。未通过准入门槛者不计入评优。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</si>
</sst>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b/>
      <sz val="10"/>
      <name val="微软雅黑"/>
      <charset val="134"/>
    </font>
    <font>
      <b/>
      <sz val="11"/>
      <color rgb="FF1F4E7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2"/>
      <color rgb="FFC00000"/>
      <name val="微软雅黑"/>
      <charset val="134"/>
    </font>
    <font>
      <sz val="9"/>
      <color rgb="FF59595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8" workbookViewId="0">
      <selection activeCell="A31" sqref="A31:F31"/>
    </sheetView>
  </sheetViews>
  <sheetFormatPr defaultColWidth="9" defaultRowHeight="16.8" outlineLevelCol="5"/>
  <cols>
    <col min="1" max="1" width="16" customWidth="1"/>
    <col min="2" max="2" width="22" customWidth="1"/>
    <col min="3" max="3" width="12" customWidth="1"/>
    <col min="4" max="4" width="22" customWidth="1"/>
    <col min="5" max="5" width="14" customWidth="1"/>
    <col min="6" max="6" width="30" customWidth="1"/>
  </cols>
  <sheetData>
    <row r="1" ht="30" customHeight="1" spans="1:6">
      <c r="A1" s="1" t="s">
        <v>0</v>
      </c>
    </row>
    <row r="2" ht="46" customHeight="1" spans="1:6">
      <c r="A2" s="26" t="s">
        <v>1</v>
      </c>
    </row>
    <row r="4" spans="1:6">
      <c r="A4" s="4" t="s">
        <v>2</v>
      </c>
    </row>
    <row r="5" ht="17" spans="1: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ht="31" spans="1:6">
      <c r="A6" s="32" t="s">
        <v>9</v>
      </c>
      <c r="B6" s="35" t="s">
        <v>10</v>
      </c>
      <c r="C6" s="36">
        <v>30</v>
      </c>
      <c r="D6" s="36" t="s">
        <v>11</v>
      </c>
      <c r="E6" s="36" t="s">
        <v>12</v>
      </c>
      <c r="F6" s="35" t="s">
        <v>13</v>
      </c>
    </row>
    <row r="7" ht="31" spans="1:6">
      <c r="A7" s="12"/>
      <c r="B7" s="35" t="s">
        <v>14</v>
      </c>
      <c r="C7" s="36">
        <v>25</v>
      </c>
      <c r="D7" s="36" t="s">
        <v>11</v>
      </c>
      <c r="E7" s="36" t="s">
        <v>12</v>
      </c>
      <c r="F7" s="35" t="s">
        <v>15</v>
      </c>
    </row>
    <row r="8" ht="31" spans="1:6">
      <c r="A8" s="12"/>
      <c r="B8" s="35" t="s">
        <v>16</v>
      </c>
      <c r="C8" s="36">
        <v>25</v>
      </c>
      <c r="D8" s="36" t="s">
        <v>17</v>
      </c>
      <c r="E8" s="36" t="s">
        <v>12</v>
      </c>
      <c r="F8" s="35" t="s">
        <v>18</v>
      </c>
    </row>
    <row r="9" ht="31" spans="1:6">
      <c r="A9" s="13"/>
      <c r="B9" s="35" t="s">
        <v>19</v>
      </c>
      <c r="C9" s="36">
        <v>20</v>
      </c>
      <c r="D9" s="36" t="s">
        <v>20</v>
      </c>
      <c r="E9" s="36" t="s">
        <v>12</v>
      </c>
      <c r="F9" s="35" t="s">
        <v>21</v>
      </c>
    </row>
    <row r="10" spans="1:6">
      <c r="A10" s="37" t="s">
        <v>22</v>
      </c>
      <c r="B10" s="38" t="s">
        <v>23</v>
      </c>
      <c r="C10" s="39">
        <v>100</v>
      </c>
      <c r="D10" s="39" t="s">
        <v>24</v>
      </c>
      <c r="E10" s="39" t="s">
        <v>24</v>
      </c>
      <c r="F10" s="38" t="s">
        <v>25</v>
      </c>
    </row>
    <row r="11" ht="31" spans="1:6">
      <c r="A11" s="40" t="s">
        <v>26</v>
      </c>
      <c r="B11" s="41" t="s">
        <v>27</v>
      </c>
      <c r="C11" s="30" t="s">
        <v>28</v>
      </c>
      <c r="D11" s="30" t="s">
        <v>29</v>
      </c>
      <c r="E11" s="30" t="s">
        <v>30</v>
      </c>
      <c r="F11" s="41" t="s">
        <v>31</v>
      </c>
    </row>
    <row r="12" ht="31" spans="1:6">
      <c r="A12" s="42" t="s">
        <v>32</v>
      </c>
      <c r="B12" s="43" t="s">
        <v>33</v>
      </c>
      <c r="C12" s="27" t="s">
        <v>34</v>
      </c>
      <c r="D12" s="27" t="s">
        <v>35</v>
      </c>
      <c r="E12" s="27" t="s">
        <v>36</v>
      </c>
      <c r="F12" s="43" t="s">
        <v>24</v>
      </c>
    </row>
    <row r="13" spans="1:6">
      <c r="A13" s="44" t="s">
        <v>37</v>
      </c>
      <c r="B13" s="45" t="s">
        <v>38</v>
      </c>
      <c r="C13" s="46" t="s">
        <v>39</v>
      </c>
      <c r="D13" s="46" t="s">
        <v>24</v>
      </c>
      <c r="E13" s="46" t="s">
        <v>24</v>
      </c>
      <c r="F13" s="45" t="s">
        <v>25</v>
      </c>
    </row>
    <row r="15" spans="1:6">
      <c r="A15" s="4" t="s">
        <v>40</v>
      </c>
    </row>
    <row r="16" ht="17" spans="1:6">
      <c r="A16" s="5" t="s">
        <v>41</v>
      </c>
      <c r="B16" s="5" t="s">
        <v>42</v>
      </c>
      <c r="C16" s="5" t="s">
        <v>43</v>
      </c>
      <c r="D16" s="5" t="s">
        <v>44</v>
      </c>
    </row>
    <row r="17" spans="1:6">
      <c r="A17" s="38" t="s">
        <v>45</v>
      </c>
      <c r="B17" s="38" t="s">
        <v>46</v>
      </c>
      <c r="C17" s="39">
        <v>80</v>
      </c>
      <c r="D17" s="38" t="s">
        <v>47</v>
      </c>
      <c r="E17" s="47"/>
      <c r="F17" s="6"/>
    </row>
    <row r="18" spans="1:6">
      <c r="A18" s="38" t="s">
        <v>48</v>
      </c>
      <c r="B18" s="38" t="s">
        <v>49</v>
      </c>
      <c r="C18" s="39">
        <v>20</v>
      </c>
      <c r="D18" s="38" t="s">
        <v>50</v>
      </c>
      <c r="E18" s="47"/>
      <c r="F18" s="6"/>
    </row>
    <row r="19" spans="1:6">
      <c r="A19" s="41" t="s">
        <v>51</v>
      </c>
      <c r="B19" s="41" t="s">
        <v>52</v>
      </c>
      <c r="C19" s="30">
        <v>15</v>
      </c>
      <c r="D19" s="41" t="s">
        <v>53</v>
      </c>
      <c r="E19" s="47"/>
      <c r="F19" s="6"/>
    </row>
    <row r="21" spans="1:6">
      <c r="A21" s="4" t="s">
        <v>54</v>
      </c>
    </row>
    <row r="22" ht="17" spans="1:6">
      <c r="A22" s="5" t="s">
        <v>55</v>
      </c>
      <c r="B22" s="5" t="s">
        <v>56</v>
      </c>
      <c r="C22" s="5" t="s">
        <v>57</v>
      </c>
      <c r="D22" s="5" t="s">
        <v>25</v>
      </c>
      <c r="E22" s="5" t="s">
        <v>25</v>
      </c>
    </row>
    <row r="23" spans="1:6">
      <c r="A23" s="48" t="s">
        <v>58</v>
      </c>
      <c r="B23" s="48" t="s">
        <v>59</v>
      </c>
      <c r="C23" s="49" t="s">
        <v>60</v>
      </c>
      <c r="D23" s="47"/>
      <c r="E23" s="47"/>
      <c r="F23" s="6"/>
    </row>
    <row r="24" spans="1:6">
      <c r="A24" s="48" t="s">
        <v>61</v>
      </c>
      <c r="B24" s="48" t="s">
        <v>62</v>
      </c>
      <c r="C24" s="49" t="s">
        <v>63</v>
      </c>
      <c r="D24" s="47"/>
      <c r="E24" s="47"/>
      <c r="F24" s="6"/>
    </row>
    <row r="25" spans="1:6">
      <c r="A25" s="48" t="s">
        <v>64</v>
      </c>
      <c r="B25" s="48" t="s">
        <v>65</v>
      </c>
      <c r="C25" s="49" t="s">
        <v>66</v>
      </c>
      <c r="D25" s="47"/>
      <c r="E25" s="47"/>
      <c r="F25" s="6"/>
    </row>
    <row r="26" spans="1:6">
      <c r="A26" s="48" t="s">
        <v>67</v>
      </c>
      <c r="B26" s="48" t="s">
        <v>68</v>
      </c>
      <c r="C26" s="49" t="s">
        <v>69</v>
      </c>
      <c r="D26" s="47"/>
      <c r="E26" s="47"/>
      <c r="F26" s="6"/>
    </row>
    <row r="28" spans="1:6">
      <c r="A28" s="4" t="s">
        <v>70</v>
      </c>
    </row>
    <row r="29" spans="1:6">
      <c r="A29" s="29" t="s">
        <v>71</v>
      </c>
    </row>
    <row r="30" spans="1:6">
      <c r="A30" s="29" t="s">
        <v>72</v>
      </c>
    </row>
    <row r="31" spans="1:6">
      <c r="A31" s="29" t="s">
        <v>73</v>
      </c>
    </row>
    <row r="32" spans="1:6">
      <c r="A32" s="29" t="s">
        <v>74</v>
      </c>
    </row>
    <row r="33" spans="1:1">
      <c r="A33" s="29" t="s">
        <v>75</v>
      </c>
    </row>
    <row r="35" spans="1:1">
      <c r="A35" s="4" t="s">
        <v>76</v>
      </c>
    </row>
    <row r="36" spans="1:1">
      <c r="A36" s="29" t="s">
        <v>77</v>
      </c>
    </row>
    <row r="37" spans="1:1">
      <c r="A37" s="29" t="s">
        <v>78</v>
      </c>
    </row>
    <row r="38" spans="1:1">
      <c r="A38" s="29" t="s">
        <v>79</v>
      </c>
    </row>
  </sheetData>
  <mergeCells count="18">
    <mergeCell ref="A1:F1"/>
    <mergeCell ref="A2:F2"/>
    <mergeCell ref="D17:F17"/>
    <mergeCell ref="D18:F18"/>
    <mergeCell ref="D19:F19"/>
    <mergeCell ref="C23:F23"/>
    <mergeCell ref="C24:F24"/>
    <mergeCell ref="C25:F25"/>
    <mergeCell ref="C26:F26"/>
    <mergeCell ref="A29:F29"/>
    <mergeCell ref="A30:F30"/>
    <mergeCell ref="A31:F31"/>
    <mergeCell ref="A32:F32"/>
    <mergeCell ref="A33:F33"/>
    <mergeCell ref="A36:F36"/>
    <mergeCell ref="A37:F37"/>
    <mergeCell ref="A38:F38"/>
    <mergeCell ref="A6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8" customWidth="1"/>
    <col min="3" max="3" width="22" customWidth="1"/>
    <col min="4" max="4" width="7" customWidth="1"/>
    <col min="5" max="5" width="34" customWidth="1"/>
    <col min="6" max="6" width="30" customWidth="1"/>
    <col min="7" max="7" width="26" customWidth="1"/>
    <col min="8" max="8" width="24" customWidth="1"/>
  </cols>
  <sheetData>
    <row r="1" ht="28" customHeight="1" spans="1:8">
      <c r="A1" s="1" t="s">
        <v>80</v>
      </c>
    </row>
    <row r="2" ht="34" spans="1:8">
      <c r="A2" s="5" t="s">
        <v>81</v>
      </c>
      <c r="B2" s="5" t="s">
        <v>82</v>
      </c>
      <c r="C2" s="5" t="s">
        <v>83</v>
      </c>
      <c r="D2" s="5" t="s">
        <v>84</v>
      </c>
      <c r="E2" s="5" t="s">
        <v>58</v>
      </c>
      <c r="F2" s="5" t="s">
        <v>61</v>
      </c>
      <c r="G2" s="5" t="s">
        <v>64</v>
      </c>
      <c r="H2" s="5" t="s">
        <v>67</v>
      </c>
    </row>
    <row r="3" ht="58" customHeight="1" spans="1:8">
      <c r="A3" s="32" t="s">
        <v>85</v>
      </c>
      <c r="B3" s="33" t="s">
        <v>86</v>
      </c>
      <c r="C3" s="28" t="s">
        <v>87</v>
      </c>
      <c r="D3" s="31">
        <v>12</v>
      </c>
      <c r="E3" s="28" t="s">
        <v>88</v>
      </c>
      <c r="F3" s="28" t="s">
        <v>89</v>
      </c>
      <c r="G3" s="28" t="s">
        <v>90</v>
      </c>
      <c r="H3" s="28" t="s">
        <v>91</v>
      </c>
    </row>
    <row r="4" ht="58" customHeight="1" spans="1:8">
      <c r="A4" s="12"/>
      <c r="B4" s="33" t="s">
        <v>92</v>
      </c>
      <c r="C4" s="28" t="s">
        <v>93</v>
      </c>
      <c r="D4" s="31">
        <v>8</v>
      </c>
      <c r="E4" s="28" t="s">
        <v>94</v>
      </c>
      <c r="F4" s="28" t="s">
        <v>95</v>
      </c>
      <c r="G4" s="28" t="s">
        <v>96</v>
      </c>
      <c r="H4" s="28" t="s">
        <v>97</v>
      </c>
    </row>
    <row r="5" ht="58" customHeight="1" spans="1:8">
      <c r="A5" s="12"/>
      <c r="B5" s="33" t="s">
        <v>98</v>
      </c>
      <c r="C5" s="28" t="s">
        <v>99</v>
      </c>
      <c r="D5" s="31">
        <v>6</v>
      </c>
      <c r="E5" s="28" t="s">
        <v>100</v>
      </c>
      <c r="F5" s="28" t="s">
        <v>101</v>
      </c>
      <c r="G5" s="28" t="s">
        <v>102</v>
      </c>
      <c r="H5" s="28" t="s">
        <v>103</v>
      </c>
    </row>
    <row r="6" ht="58" customHeight="1" spans="1:8">
      <c r="A6" s="13"/>
      <c r="B6" s="33" t="s">
        <v>104</v>
      </c>
      <c r="C6" s="28" t="s">
        <v>105</v>
      </c>
      <c r="D6" s="31">
        <v>4</v>
      </c>
      <c r="E6" s="28" t="s">
        <v>106</v>
      </c>
      <c r="F6" s="28" t="s">
        <v>107</v>
      </c>
      <c r="G6" s="28" t="s">
        <v>108</v>
      </c>
      <c r="H6" s="28" t="s">
        <v>109</v>
      </c>
    </row>
    <row r="7" ht="58" customHeight="1" spans="1:8">
      <c r="A7" s="22" t="s">
        <v>110</v>
      </c>
      <c r="B7" s="33" t="s">
        <v>111</v>
      </c>
      <c r="C7" s="28" t="s">
        <v>112</v>
      </c>
      <c r="D7" s="31">
        <v>5</v>
      </c>
      <c r="E7" s="28" t="s">
        <v>113</v>
      </c>
      <c r="F7" s="28" t="s">
        <v>114</v>
      </c>
      <c r="G7" s="28" t="s">
        <v>115</v>
      </c>
      <c r="H7" s="28" t="s">
        <v>116</v>
      </c>
    </row>
    <row r="8" ht="58" customHeight="1" spans="1:8">
      <c r="A8" s="12"/>
      <c r="B8" s="33" t="s">
        <v>117</v>
      </c>
      <c r="C8" s="28" t="s">
        <v>118</v>
      </c>
      <c r="D8" s="31">
        <v>6</v>
      </c>
      <c r="E8" s="28" t="s">
        <v>119</v>
      </c>
      <c r="F8" s="28" t="s">
        <v>120</v>
      </c>
      <c r="G8" s="28" t="s">
        <v>121</v>
      </c>
      <c r="H8" s="28" t="s">
        <v>122</v>
      </c>
    </row>
    <row r="9" ht="58" customHeight="1" spans="1:8">
      <c r="A9" s="12"/>
      <c r="B9" s="33" t="s">
        <v>123</v>
      </c>
      <c r="C9" s="28" t="s">
        <v>124</v>
      </c>
      <c r="D9" s="31">
        <v>8</v>
      </c>
      <c r="E9" s="28" t="s">
        <v>125</v>
      </c>
      <c r="F9" s="28" t="s">
        <v>126</v>
      </c>
      <c r="G9" s="28" t="s">
        <v>127</v>
      </c>
      <c r="H9" s="28" t="s">
        <v>128</v>
      </c>
    </row>
    <row r="10" ht="58" customHeight="1" spans="1:8">
      <c r="A10" s="13"/>
      <c r="B10" s="33" t="s">
        <v>129</v>
      </c>
      <c r="C10" s="28" t="s">
        <v>130</v>
      </c>
      <c r="D10" s="31">
        <v>6</v>
      </c>
      <c r="E10" s="28" t="s">
        <v>131</v>
      </c>
      <c r="F10" s="28" t="s">
        <v>132</v>
      </c>
      <c r="G10" s="28" t="s">
        <v>133</v>
      </c>
      <c r="H10" s="28" t="s">
        <v>134</v>
      </c>
    </row>
    <row r="11" ht="58" customHeight="1" spans="1:8">
      <c r="A11" s="32" t="s">
        <v>135</v>
      </c>
      <c r="B11" s="33" t="s">
        <v>136</v>
      </c>
      <c r="C11" s="28" t="s">
        <v>137</v>
      </c>
      <c r="D11" s="31">
        <v>5</v>
      </c>
      <c r="E11" s="28" t="s">
        <v>138</v>
      </c>
      <c r="F11" s="28" t="s">
        <v>139</v>
      </c>
      <c r="G11" s="28" t="s">
        <v>140</v>
      </c>
      <c r="H11" s="28" t="s">
        <v>141</v>
      </c>
    </row>
    <row r="12" ht="58" customHeight="1" spans="1:8">
      <c r="A12" s="12"/>
      <c r="B12" s="33" t="s">
        <v>142</v>
      </c>
      <c r="C12" s="28" t="s">
        <v>143</v>
      </c>
      <c r="D12" s="31">
        <v>6</v>
      </c>
      <c r="E12" s="28" t="s">
        <v>144</v>
      </c>
      <c r="F12" s="28" t="s">
        <v>145</v>
      </c>
      <c r="G12" s="28" t="s">
        <v>146</v>
      </c>
      <c r="H12" s="28" t="s">
        <v>147</v>
      </c>
    </row>
    <row r="13" ht="58" customHeight="1" spans="1:8">
      <c r="A13" s="12"/>
      <c r="B13" s="33" t="s">
        <v>148</v>
      </c>
      <c r="C13" s="28" t="s">
        <v>149</v>
      </c>
      <c r="D13" s="31">
        <v>8</v>
      </c>
      <c r="E13" s="28" t="s">
        <v>150</v>
      </c>
      <c r="F13" s="28" t="s">
        <v>151</v>
      </c>
      <c r="G13" s="28" t="s">
        <v>152</v>
      </c>
      <c r="H13" s="28" t="s">
        <v>153</v>
      </c>
    </row>
    <row r="14" ht="58" customHeight="1" spans="1:8">
      <c r="A14" s="13"/>
      <c r="B14" s="33" t="s">
        <v>154</v>
      </c>
      <c r="C14" s="28" t="s">
        <v>155</v>
      </c>
      <c r="D14" s="31">
        <v>6</v>
      </c>
      <c r="E14" s="28" t="s">
        <v>156</v>
      </c>
      <c r="F14" s="28" t="s">
        <v>157</v>
      </c>
      <c r="G14" s="28" t="s">
        <v>158</v>
      </c>
      <c r="H14" s="28" t="s">
        <v>159</v>
      </c>
    </row>
    <row r="15" ht="58" customHeight="1" spans="1:8">
      <c r="A15" s="34" t="s">
        <v>160</v>
      </c>
      <c r="B15" s="33" t="s">
        <v>161</v>
      </c>
      <c r="C15" s="28" t="s">
        <v>162</v>
      </c>
      <c r="D15" s="31">
        <v>8</v>
      </c>
      <c r="E15" s="28" t="s">
        <v>163</v>
      </c>
      <c r="F15" s="28" t="s">
        <v>164</v>
      </c>
      <c r="G15" s="28" t="s">
        <v>165</v>
      </c>
      <c r="H15" s="28" t="s">
        <v>166</v>
      </c>
    </row>
    <row r="16" ht="58" customHeight="1" spans="1:8">
      <c r="A16" s="12"/>
      <c r="B16" s="33" t="s">
        <v>167</v>
      </c>
      <c r="C16" s="28" t="s">
        <v>168</v>
      </c>
      <c r="D16" s="31">
        <v>8</v>
      </c>
      <c r="E16" s="28" t="s">
        <v>169</v>
      </c>
      <c r="F16" s="28" t="s">
        <v>170</v>
      </c>
      <c r="G16" s="28" t="s">
        <v>171</v>
      </c>
      <c r="H16" s="28" t="s">
        <v>172</v>
      </c>
    </row>
    <row r="17" ht="58" customHeight="1" spans="1:8">
      <c r="A17" s="13"/>
      <c r="B17" s="33" t="s">
        <v>173</v>
      </c>
      <c r="C17" s="28" t="s">
        <v>174</v>
      </c>
      <c r="D17" s="31">
        <v>4</v>
      </c>
      <c r="E17" s="28" t="s">
        <v>175</v>
      </c>
      <c r="F17" s="28" t="s">
        <v>176</v>
      </c>
      <c r="G17" s="28" t="s">
        <v>177</v>
      </c>
      <c r="H17" s="28" t="s">
        <v>178</v>
      </c>
    </row>
  </sheetData>
  <mergeCells count="5">
    <mergeCell ref="A1:H1"/>
    <mergeCell ref="A3:A6"/>
    <mergeCell ref="A7:A10"/>
    <mergeCell ref="A11:A14"/>
    <mergeCell ref="A15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:D1"/>
    </sheetView>
  </sheetViews>
  <sheetFormatPr defaultColWidth="9" defaultRowHeight="16.8" outlineLevelCol="3"/>
  <cols>
    <col min="1" max="1" width="6" customWidth="1"/>
    <col min="2" max="2" width="30" customWidth="1"/>
    <col min="3" max="3" width="16" customWidth="1"/>
    <col min="4" max="4" width="40" customWidth="1"/>
  </cols>
  <sheetData>
    <row r="1" ht="26" customHeight="1" spans="1:4">
      <c r="A1" s="1" t="s">
        <v>179</v>
      </c>
    </row>
    <row r="2" spans="1:4">
      <c r="A2" s="4" t="s">
        <v>180</v>
      </c>
    </row>
    <row r="3" ht="17" spans="1:4">
      <c r="A3" s="5" t="s">
        <v>181</v>
      </c>
      <c r="B3" s="5" t="s">
        <v>182</v>
      </c>
      <c r="C3" s="5" t="s">
        <v>183</v>
      </c>
      <c r="D3" s="5" t="s">
        <v>184</v>
      </c>
    </row>
    <row r="4" ht="34" customHeight="1" spans="1:4">
      <c r="A4" s="27" t="s">
        <v>185</v>
      </c>
      <c r="B4" s="28" t="s">
        <v>186</v>
      </c>
      <c r="C4" s="28" t="s">
        <v>187</v>
      </c>
      <c r="D4" s="28" t="s">
        <v>188</v>
      </c>
    </row>
    <row r="5" ht="34" customHeight="1" spans="1:4">
      <c r="A5" s="27" t="s">
        <v>189</v>
      </c>
      <c r="B5" s="28" t="s">
        <v>190</v>
      </c>
      <c r="C5" s="28" t="s">
        <v>191</v>
      </c>
      <c r="D5" s="28" t="s">
        <v>192</v>
      </c>
    </row>
    <row r="6" ht="34" customHeight="1" spans="1:4">
      <c r="A6" s="27" t="s">
        <v>193</v>
      </c>
      <c r="B6" s="28" t="s">
        <v>194</v>
      </c>
      <c r="C6" s="28" t="s">
        <v>195</v>
      </c>
      <c r="D6" s="28" t="s">
        <v>196</v>
      </c>
    </row>
    <row r="7" ht="34" customHeight="1" spans="1:4">
      <c r="A7" s="27" t="s">
        <v>197</v>
      </c>
      <c r="B7" s="28" t="s">
        <v>198</v>
      </c>
      <c r="C7" s="28" t="s">
        <v>199</v>
      </c>
      <c r="D7" s="28" t="s">
        <v>200</v>
      </c>
    </row>
    <row r="8" ht="34" customHeight="1" spans="1:4">
      <c r="A8" s="27" t="s">
        <v>201</v>
      </c>
      <c r="B8" s="28" t="s">
        <v>202</v>
      </c>
      <c r="C8" s="28" t="s">
        <v>203</v>
      </c>
      <c r="D8" s="28" t="s">
        <v>204</v>
      </c>
    </row>
    <row r="9" ht="34" customHeight="1" spans="1:4">
      <c r="A9" s="27" t="s">
        <v>205</v>
      </c>
      <c r="B9" s="28" t="s">
        <v>206</v>
      </c>
      <c r="C9" s="28" t="s">
        <v>207</v>
      </c>
      <c r="D9" s="28" t="s">
        <v>208</v>
      </c>
    </row>
    <row r="11" spans="1:4">
      <c r="A11" s="4" t="s">
        <v>209</v>
      </c>
    </row>
    <row r="12" spans="1:4">
      <c r="A12" s="29" t="s">
        <v>210</v>
      </c>
    </row>
    <row r="13" spans="1:4">
      <c r="A13" s="29" t="s">
        <v>211</v>
      </c>
    </row>
    <row r="14" spans="1:4">
      <c r="A14" s="29" t="s">
        <v>212</v>
      </c>
    </row>
    <row r="16" spans="1:4">
      <c r="A16" s="4" t="s">
        <v>213</v>
      </c>
    </row>
    <row r="17" ht="17" spans="1:4">
      <c r="A17" s="5" t="s">
        <v>214</v>
      </c>
      <c r="B17" s="5" t="s">
        <v>26</v>
      </c>
      <c r="C17" s="5" t="s">
        <v>43</v>
      </c>
      <c r="D17" s="5" t="s">
        <v>215</v>
      </c>
    </row>
    <row r="18" ht="46" customHeight="1" spans="1:4">
      <c r="A18" s="30" t="s">
        <v>216</v>
      </c>
      <c r="B18" s="28" t="s">
        <v>217</v>
      </c>
      <c r="C18" s="31" t="s">
        <v>218</v>
      </c>
      <c r="D18" s="28" t="s">
        <v>219</v>
      </c>
    </row>
    <row r="19" ht="46" customHeight="1" spans="1:4">
      <c r="A19" s="30" t="s">
        <v>220</v>
      </c>
      <c r="B19" s="28" t="s">
        <v>221</v>
      </c>
      <c r="C19" s="31" t="s">
        <v>222</v>
      </c>
      <c r="D19" s="28" t="s">
        <v>223</v>
      </c>
    </row>
    <row r="20" ht="46" customHeight="1" spans="1:4">
      <c r="A20" s="30" t="s">
        <v>224</v>
      </c>
      <c r="B20" s="28" t="s">
        <v>225</v>
      </c>
      <c r="C20" s="31" t="s">
        <v>226</v>
      </c>
      <c r="D20" s="28" t="s">
        <v>227</v>
      </c>
    </row>
    <row r="22" spans="1:4">
      <c r="A22" s="26" t="s">
        <v>228</v>
      </c>
    </row>
  </sheetData>
  <mergeCells count="8">
    <mergeCell ref="A1:D1"/>
    <mergeCell ref="A2:D2"/>
    <mergeCell ref="A11:D11"/>
    <mergeCell ref="A12:D12"/>
    <mergeCell ref="A13:D13"/>
    <mergeCell ref="A14:D14"/>
    <mergeCell ref="A16:D16"/>
    <mergeCell ref="A22:D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13" workbookViewId="0">
      <selection activeCell="B9" sqref="B9"/>
    </sheetView>
  </sheetViews>
  <sheetFormatPr defaultColWidth="9" defaultRowHeight="16.8" outlineLevelCol="4"/>
  <cols>
    <col min="1" max="1" width="10" customWidth="1"/>
    <col min="2" max="2" width="26" customWidth="1"/>
    <col min="3" max="4" width="9" customWidth="1"/>
    <col min="5" max="5" width="28" customWidth="1"/>
  </cols>
  <sheetData>
    <row r="1" ht="24" customHeight="1" spans="1:5">
      <c r="A1" s="1" t="s">
        <v>229</v>
      </c>
    </row>
    <row r="2" spans="1:5">
      <c r="A2" s="2" t="s">
        <v>230</v>
      </c>
      <c r="B2" s="3"/>
    </row>
    <row r="3" spans="1:5">
      <c r="A3" s="2" t="s">
        <v>231</v>
      </c>
      <c r="B3" s="3"/>
    </row>
    <row r="4" spans="1:5">
      <c r="A4" s="2" t="s">
        <v>232</v>
      </c>
      <c r="B4" s="3"/>
    </row>
    <row r="5" spans="1:5">
      <c r="A5" s="2" t="s">
        <v>233</v>
      </c>
      <c r="B5" s="3"/>
    </row>
    <row r="6" spans="1:5">
      <c r="A6" s="4" t="s">
        <v>234</v>
      </c>
    </row>
    <row r="7" ht="17" spans="1:5">
      <c r="A7" s="5" t="s">
        <v>181</v>
      </c>
      <c r="B7" s="5" t="s">
        <v>235</v>
      </c>
      <c r="C7" s="5" t="s">
        <v>236</v>
      </c>
      <c r="D7" s="6"/>
      <c r="E7" s="5" t="s">
        <v>237</v>
      </c>
    </row>
    <row r="8" ht="17" spans="1:5">
      <c r="A8" s="7" t="s">
        <v>185</v>
      </c>
      <c r="B8" s="8" t="s">
        <v>238</v>
      </c>
      <c r="C8" s="3"/>
      <c r="D8" s="3"/>
      <c r="E8" s="3"/>
    </row>
    <row r="9" ht="17" spans="1:5">
      <c r="A9" s="7" t="s">
        <v>189</v>
      </c>
      <c r="B9" s="8" t="s">
        <v>239</v>
      </c>
      <c r="C9" s="3"/>
      <c r="D9" s="3"/>
      <c r="E9" s="3"/>
    </row>
    <row r="10" ht="17" spans="1:5">
      <c r="A10" s="7" t="s">
        <v>193</v>
      </c>
      <c r="B10" s="8" t="s">
        <v>240</v>
      </c>
      <c r="C10" s="3"/>
      <c r="D10" s="3"/>
      <c r="E10" s="3"/>
    </row>
    <row r="11" ht="17" spans="1:5">
      <c r="A11" s="7" t="s">
        <v>197</v>
      </c>
      <c r="B11" s="8" t="s">
        <v>241</v>
      </c>
      <c r="C11" s="3"/>
      <c r="D11" s="3"/>
      <c r="E11" s="3"/>
    </row>
    <row r="12" ht="17" spans="1:5">
      <c r="A12" s="7" t="s">
        <v>201</v>
      </c>
      <c r="B12" s="8" t="s">
        <v>242</v>
      </c>
      <c r="C12" s="3"/>
      <c r="D12" s="3"/>
      <c r="E12" s="3"/>
    </row>
    <row r="13" ht="17" spans="1:5">
      <c r="A13" s="7" t="s">
        <v>205</v>
      </c>
      <c r="B13" s="8" t="s">
        <v>243</v>
      </c>
      <c r="C13" s="3"/>
      <c r="D13" s="3"/>
      <c r="E13" s="3"/>
    </row>
    <row r="15" ht="17" spans="1:5">
      <c r="A15" s="5" t="s">
        <v>244</v>
      </c>
      <c r="B15" s="5" t="s">
        <v>82</v>
      </c>
      <c r="C15" s="5" t="s">
        <v>84</v>
      </c>
      <c r="D15" s="5" t="s">
        <v>245</v>
      </c>
      <c r="E15" s="5" t="s">
        <v>246</v>
      </c>
    </row>
    <row r="16" spans="1:5">
      <c r="A16" s="9" t="s">
        <v>247</v>
      </c>
      <c r="B16" s="8" t="s">
        <v>86</v>
      </c>
      <c r="C16" s="7">
        <v>12</v>
      </c>
      <c r="D16" s="10"/>
      <c r="E16" s="11"/>
    </row>
    <row r="17" spans="1:5">
      <c r="A17" s="12"/>
      <c r="B17" s="8" t="s">
        <v>92</v>
      </c>
      <c r="C17" s="7">
        <v>8</v>
      </c>
      <c r="D17" s="10"/>
      <c r="E17" s="11"/>
    </row>
    <row r="18" spans="1:5">
      <c r="A18" s="12"/>
      <c r="B18" s="8" t="s">
        <v>98</v>
      </c>
      <c r="C18" s="7">
        <v>6</v>
      </c>
      <c r="D18" s="10"/>
      <c r="E18" s="11"/>
    </row>
    <row r="19" spans="1:5">
      <c r="A19" s="13"/>
      <c r="B19" s="8" t="s">
        <v>104</v>
      </c>
      <c r="C19" s="7">
        <v>4</v>
      </c>
      <c r="D19" s="10"/>
      <c r="E19" s="11"/>
    </row>
    <row r="20" spans="1:5">
      <c r="A20" s="9" t="s">
        <v>248</v>
      </c>
      <c r="B20" s="8" t="s">
        <v>249</v>
      </c>
      <c r="C20" s="7">
        <v>5</v>
      </c>
      <c r="D20" s="10"/>
      <c r="E20" s="11"/>
    </row>
    <row r="21" spans="1:5">
      <c r="A21" s="12"/>
      <c r="B21" s="8" t="s">
        <v>117</v>
      </c>
      <c r="C21" s="7">
        <v>6</v>
      </c>
      <c r="D21" s="10"/>
      <c r="E21" s="11"/>
    </row>
    <row r="22" spans="1:5">
      <c r="A22" s="12"/>
      <c r="B22" s="8" t="s">
        <v>123</v>
      </c>
      <c r="C22" s="7">
        <v>8</v>
      </c>
      <c r="D22" s="10"/>
      <c r="E22" s="11"/>
    </row>
    <row r="23" spans="1:5">
      <c r="A23" s="13"/>
      <c r="B23" s="8" t="s">
        <v>129</v>
      </c>
      <c r="C23" s="7">
        <v>6</v>
      </c>
      <c r="D23" s="10"/>
      <c r="E23" s="11"/>
    </row>
    <row r="24" spans="1:5">
      <c r="A24" s="9" t="s">
        <v>250</v>
      </c>
      <c r="B24" s="8" t="s">
        <v>136</v>
      </c>
      <c r="C24" s="7">
        <v>5</v>
      </c>
      <c r="D24" s="10"/>
      <c r="E24" s="11"/>
    </row>
    <row r="25" spans="1:5">
      <c r="A25" s="12"/>
      <c r="B25" s="8" t="s">
        <v>142</v>
      </c>
      <c r="C25" s="7">
        <v>6</v>
      </c>
      <c r="D25" s="10"/>
      <c r="E25" s="11"/>
    </row>
    <row r="26" spans="1:5">
      <c r="A26" s="12"/>
      <c r="B26" s="8" t="s">
        <v>148</v>
      </c>
      <c r="C26" s="7">
        <v>8</v>
      </c>
      <c r="D26" s="10"/>
      <c r="E26" s="11"/>
    </row>
    <row r="27" spans="1:5">
      <c r="A27" s="13"/>
      <c r="B27" s="8" t="s">
        <v>154</v>
      </c>
      <c r="C27" s="7">
        <v>6</v>
      </c>
      <c r="D27" s="10"/>
      <c r="E27" s="11"/>
    </row>
    <row r="28" spans="1:5">
      <c r="A28" s="9" t="s">
        <v>251</v>
      </c>
      <c r="B28" s="8" t="s">
        <v>161</v>
      </c>
      <c r="C28" s="7">
        <v>8</v>
      </c>
      <c r="D28" s="10"/>
      <c r="E28" s="11"/>
    </row>
    <row r="29" spans="1:5">
      <c r="A29" s="12"/>
      <c r="B29" s="8" t="s">
        <v>167</v>
      </c>
      <c r="C29" s="7">
        <v>8</v>
      </c>
      <c r="D29" s="10"/>
      <c r="E29" s="11"/>
    </row>
    <row r="30" spans="1:5">
      <c r="A30" s="13"/>
      <c r="B30" s="8" t="s">
        <v>173</v>
      </c>
      <c r="C30" s="7">
        <v>4</v>
      </c>
      <c r="D30" s="10"/>
      <c r="E30" s="11"/>
    </row>
    <row r="31" spans="1:5">
      <c r="A31" s="14"/>
      <c r="B31" s="15" t="s">
        <v>252</v>
      </c>
      <c r="C31" s="16">
        <v>100</v>
      </c>
      <c r="D31" s="17">
        <f>SUM(D16:D30)</f>
        <v>0</v>
      </c>
      <c r="E31" s="14"/>
    </row>
    <row r="32" ht="17" spans="1:5">
      <c r="A32" s="18" t="s">
        <v>253</v>
      </c>
      <c r="B32" s="18" t="s">
        <v>254</v>
      </c>
      <c r="C32" s="18" t="s">
        <v>84</v>
      </c>
      <c r="D32" s="18" t="s">
        <v>245</v>
      </c>
      <c r="E32" s="18" t="s">
        <v>44</v>
      </c>
    </row>
    <row r="33" spans="1:5">
      <c r="A33" s="9" t="s">
        <v>253</v>
      </c>
      <c r="B33" s="8" t="s">
        <v>255</v>
      </c>
      <c r="C33" s="7">
        <v>8</v>
      </c>
      <c r="D33" s="10"/>
      <c r="E33" s="3"/>
    </row>
    <row r="34" spans="1:5">
      <c r="A34" s="12"/>
      <c r="B34" s="8" t="s">
        <v>256</v>
      </c>
      <c r="C34" s="7">
        <v>4</v>
      </c>
      <c r="D34" s="10"/>
      <c r="E34" s="3"/>
    </row>
    <row r="35" spans="1:5">
      <c r="A35" s="13"/>
      <c r="B35" s="8" t="s">
        <v>257</v>
      </c>
      <c r="C35" s="7">
        <v>3</v>
      </c>
      <c r="D35" s="10"/>
      <c r="E35" s="3"/>
    </row>
    <row r="36" spans="1:5">
      <c r="A36" s="19"/>
      <c r="B36" s="20" t="s">
        <v>258</v>
      </c>
      <c r="C36" s="21">
        <v>15</v>
      </c>
      <c r="D36" s="22">
        <f>MIN(15,SUM(D33:D35))</f>
        <v>0</v>
      </c>
      <c r="E36" s="19"/>
    </row>
    <row r="37" ht="17.6" spans="1:5">
      <c r="A37" s="23"/>
      <c r="B37" s="24" t="s">
        <v>259</v>
      </c>
      <c r="C37" s="10">
        <v>115</v>
      </c>
      <c r="D37" s="25">
        <f>D31+D36</f>
        <v>0</v>
      </c>
      <c r="E37" s="23"/>
    </row>
    <row r="39" spans="1:5">
      <c r="A39" s="26" t="s">
        <v>260</v>
      </c>
    </row>
  </sheetData>
  <mergeCells count="19">
    <mergeCell ref="A1:E1"/>
    <mergeCell ref="B2:E2"/>
    <mergeCell ref="B3:E3"/>
    <mergeCell ref="B4:E4"/>
    <mergeCell ref="B5:E5"/>
    <mergeCell ref="A6:E6"/>
    <mergeCell ref="C7:D7"/>
    <mergeCell ref="C8:D8"/>
    <mergeCell ref="C9:D9"/>
    <mergeCell ref="C10:D10"/>
    <mergeCell ref="C11:D11"/>
    <mergeCell ref="C12:D12"/>
    <mergeCell ref="C13:D13"/>
    <mergeCell ref="A39:E39"/>
    <mergeCell ref="A16:A19"/>
    <mergeCell ref="A20:A23"/>
    <mergeCell ref="A24:A27"/>
    <mergeCell ref="A28:A30"/>
    <mergeCell ref="A33:A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计分规则总览</vt:lpstr>
      <vt:lpstr>详细评分细则</vt:lpstr>
      <vt:lpstr>工程门槛与Skill加分</vt:lpstr>
      <vt:lpstr>评委打分表(模板)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Friedhelm</cp:lastModifiedBy>
  <dcterms:created xsi:type="dcterms:W3CDTF">2026-06-02T22:12:00Z</dcterms:created>
  <dcterms:modified xsi:type="dcterms:W3CDTF">2026-06-02T22:35:23Z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059368BCF2EBEA3F2BEA1E6AFDC4E717_42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