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计分规则总览" sheetId="1" r:id="rId1"/>
    <sheet name="详细评分细则" sheetId="2" r:id="rId2"/>
    <sheet name="打分规则与流程" sheetId="3" r:id="rId3"/>
    <sheet name="工程门槛与Skill加分" sheetId="4" r:id="rId4"/>
    <sheet name="评委打分表(模板)" sheetId="5" r:id="rId5"/>
    <sheet name="赛道聚合与排名(模板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<sst xmlns="http://schemas.openxmlformats.org/spreadsheetml/2006/main" count="316" uniqueCount="284">
  <si>
    <t>AI会战（第一阶段）计分规则表</t>
  </si>
  <si>
    <t>基本原则：① 工程为必选——每组必须交付“可运行的产品/工具”作为评分载体；② Skill沉淀为加分——须在完成工程交付且达门槛后方可计入；③ 6项交付物为准入门槛，缺项按会战计划24小时限时补交，逾期不计入评优。</t>
  </si>
  <si>
    <t>一、计分结构（综合总分上限 120）</t>
  </si>
  <si>
    <t>模块</t>
  </si>
  <si>
    <t>评分维度</t>
  </si>
  <si>
    <t>满分/加分</t>
  </si>
  <si>
    <t>评分主体</t>
  </si>
  <si>
    <t>是否必选</t>
  </si>
  <si>
    <t>工程基础分
(必选·满分100)</t>
  </si>
  <si>
    <t>A 项目实现（功能完成度·可运行）</t>
  </si>
  <si>
    <t>评审小组</t>
  </si>
  <si>
    <t>必选</t>
  </si>
  <si>
    <t>B 代码完整度（工程质量·可复现）</t>
  </si>
  <si>
    <t>C Harness（AI工具链·工程化运用）</t>
  </si>
  <si>
    <t>评审小组(AI侧)</t>
  </si>
  <si>
    <t>D 业务方需求评价（价值·满意度）</t>
  </si>
  <si>
    <t>业务方代表</t>
  </si>
  <si>
    <t>小计</t>
  </si>
  <si>
    <t>工程基础分合计</t>
  </si>
  <si>
    <t>—</t>
  </si>
  <si>
    <t>加分项</t>
  </si>
  <si>
    <t>E Skill沉淀（可复用资产）</t>
  </si>
  <si>
    <t>+0~20</t>
  </si>
  <si>
    <t>AI小组+导师</t>
  </si>
  <si>
    <t>加分(须先通过门槛)</t>
  </si>
  <si>
    <t>准入门槛</t>
  </si>
  <si>
    <t>6项交付物核查</t>
  </si>
  <si>
    <t>资格性</t>
  </si>
  <si>
    <t>AI小组</t>
  </si>
  <si>
    <t>一票否决/24h补交</t>
  </si>
  <si>
    <t>综合总分</t>
  </si>
  <si>
    <t>工程基础分 + Skill加分</t>
  </si>
  <si>
    <t>上限120</t>
  </si>
  <si>
    <t>二、权重设置依据</t>
  </si>
  <si>
    <t>• A 项目实现(30)：本次为“落地”实践，“能否真正解决问题并稳定跑起来”是首要产出，与AI运用并列最高权重。</t>
  </si>
  <si>
    <t>• C Harness(30)：会战核心目标是提升AI交付能力，故AI工具链运用深度给予与A并列的最高权重。</t>
  </si>
  <si>
    <t>• B 代码完整度(20)：工程质量与可复现，是“可复制沉淀”的基础。</t>
  </si>
  <si>
    <t>• D 业务方评价(20)：真实价值的最终检验；因各组业务方不同、横向可比性弱，权重封顶20%并配套稽核，兼顾价值导向与公正性。</t>
  </si>
  <si>
    <t>• 结构：A/B/C(工程与AI，80分)由评审小组评，D(业务，20分)由业务方评，形成“专业评审 + 真实价值”双重校验。</t>
  </si>
  <si>
    <t>三、单项等级与满分占比（统一标尺）</t>
  </si>
  <si>
    <t>等级</t>
  </si>
  <si>
    <t>满分占比</t>
  </si>
  <si>
    <t>判定含义</t>
  </si>
  <si>
    <t/>
  </si>
  <si>
    <t>优秀</t>
  </si>
  <si>
    <t>90%–100%</t>
  </si>
  <si>
    <t>超出预期，可直接采用/推广</t>
  </si>
  <si>
    <t>良好</t>
  </si>
  <si>
    <t>75%–89%</t>
  </si>
  <si>
    <t>达标且较完整，少量改进点</t>
  </si>
  <si>
    <t>合格</t>
  </si>
  <si>
    <t>60%–74%</t>
  </si>
  <si>
    <t>基本可用，存在明显改进空间</t>
  </si>
  <si>
    <t>不合格</t>
  </si>
  <si>
    <t>&lt; 60%</t>
  </si>
  <si>
    <t>未达标 / 无证据支撑</t>
  </si>
  <si>
    <t>四、计分范围（适用与排除）</t>
  </si>
  <si>
    <t>• 适用：以“可运行的工程产品/工具”为载体的参赛项目，按 A/B/C/D 评分。</t>
  </si>
  <si>
    <t>• 排除：纯方案、纯文档、纯流程规范等无可运行工程载体者不予计分；如参赛须先转化为可工程化命题。</t>
  </si>
  <si>
    <t>• Skill沉淀类命题：仍须有工程载体取得基础分，其沉淀的 skill/提示词包/工作流计入 E 加分。</t>
  </si>
  <si>
    <t>详细评分细则与评判标准（工程基础分 · 满分100）</t>
  </si>
  <si>
    <t>打分方法：依据各档“可观察证据”选择档位，并在该档分数区间内取整数分；无证据不得给分。档位占满分比例 优90–100% / 良75–89% / 合60–74% / 不&lt;60%。同一评分项跨组使用同一锚点；多评委结果按《赛道聚合与排名》截尾平均。</t>
  </si>
  <si>
    <t>一级维度(满分)</t>
  </si>
  <si>
    <t>评分项</t>
  </si>
  <si>
    <t>满分</t>
  </si>
  <si>
    <t>A 项目实现
(30分)</t>
  </si>
  <si>
    <t>A1 核心功能完成度</t>
  </si>
  <si>
    <t>(11–12) 目标业务全流程闭环跑通，覆盖全部主场景及主要分支/异常路径</t>
  </si>
  <si>
    <t>(9–10) 主流程完整跑通、覆盖主场景，个别次要场景或分支缺失</t>
  </si>
  <si>
    <t>(7–8) 仅打通核心主路径(demo级)，存在未实现功能或需人工绕过</t>
  </si>
  <si>
    <t>(0–6) 主流程无法连续跑通，或仅静态界面/伪逻辑</t>
  </si>
  <si>
    <t>A2 可运行与部署</t>
  </si>
  <si>
    <t>(7–8) 提供公开可访问链接或一键部署包，演示全程稳定无崩溃</t>
  </si>
  <si>
    <t>(6) 可一键本地启动(单脚本/命令)，少量手动步骤，演示基本稳定</t>
  </si>
  <si>
    <t>(5) 需多步手动配置方可运行，偶发不稳定</t>
  </si>
  <si>
    <t>(0–4) 无法被他人独立运行 / 无部署产物</t>
  </si>
  <si>
    <t>A3 真实数据联调</t>
  </si>
  <si>
    <t>(6) 对接业务方真实(脱敏)数据并跑通端到端流程</t>
  </si>
  <si>
    <t>(5) 接入真实数据，部分环节仍用样例数据</t>
  </si>
  <si>
    <t>(4) 仅用模拟/构造数据跑通</t>
  </si>
  <si>
    <t>(0–3) 无数据联调 / 数据不可用</t>
  </si>
  <si>
    <t>A4 健壮性(异常与边界)</t>
  </si>
  <si>
    <t>(4) 主要异常/边界/错误输入均有处理与明确反馈</t>
  </si>
  <si>
    <t>(3) 覆盖部分异常场景</t>
  </si>
  <si>
    <t>(2) 仅基础输入校验</t>
  </si>
  <si>
    <t>(0–1) 无异常处理、易崩溃</t>
  </si>
  <si>
    <t>B 代码完整度
(20分)</t>
  </si>
  <si>
    <t>B1 版本管理与提交规范</t>
  </si>
  <si>
    <t>(4) 全周期持续提交、commit信息语义清晰、分支/版本规范</t>
  </si>
  <si>
    <t>(3) 提交较规律、信息基本清晰</t>
  </si>
  <si>
    <t>(2) 提交较集中或信息粗略，但有多次迭代痕迹</t>
  </si>
  <si>
    <t>(0–1) 仅1–2次大提交或临近截止突击提交</t>
  </si>
  <si>
    <t>B2 文档与可复现(README)</t>
  </si>
  <si>
    <t>(5) README含架构图+启动步骤+依赖配置，第三方可一键复现</t>
  </si>
  <si>
    <t>(4) 启动说明完整可复现，缺架构图或配置细节</t>
  </si>
  <si>
    <t>(3) 有基础说明，复现需自行摸索补全</t>
  </si>
  <si>
    <t>(0–2) 无README / 据此无法复现</t>
  </si>
  <si>
    <t>B3 代码质量</t>
  </si>
  <si>
    <t>(6) 分层清晰、命名规范、低重复、关键逻辑有注释，可读可维护</t>
  </si>
  <si>
    <t>(5) 整体规范，局部冗余/耦合/魔法值</t>
  </si>
  <si>
    <t>(4) 功能可用但结构松散、命名随意、可读性一般</t>
  </si>
  <si>
    <t>(0–3) 大量复制粘贴/超长函数/难以维护</t>
  </si>
  <si>
    <t>B4 工程化与质量保障</t>
  </si>
  <si>
    <t>(5) 配置与环境分离、含部署脚本、有测试/自检，P0/P1缺陷清零</t>
  </si>
  <si>
    <t>(4) 具备部分工程化措施，主要缺陷已修复</t>
  </si>
  <si>
    <t>(3) 基本可跑，缺乏工程化与测试</t>
  </si>
  <si>
    <t>(0–2) 无工程化考虑，存在未修复的阻断性缺陷</t>
  </si>
  <si>
    <t>C Harness
(AI工具链运用)
(30分)</t>
  </si>
  <si>
    <t>C1 统一AI工具规范使用</t>
  </si>
  <si>
    <t>(6) 全程使用统一规定工具及版本(Claude Code/Cursor等)，符合环境与Token规范、证据完整</t>
  </si>
  <si>
    <t>(5) 主体使用规定工具，少量环节偏离</t>
  </si>
  <si>
    <t>(4) 仅部分环节使用规定工具</t>
  </si>
  <si>
    <t>(0–3) 基本未使用 / 无法佐证</t>
  </si>
  <si>
    <t>C2 Prompt工程质量</t>
  </si>
  <si>
    <t>(7) 结构化、可复用的提示设计，有上下文/约定管理与明显迭代优化痕迹</t>
  </si>
  <si>
    <t>(6) 提示清晰，有一定迭代</t>
  </si>
  <si>
    <t>(5) 能用但较随意、缺乏沉淀</t>
  </si>
  <si>
    <t>(0–4) 无有效 prompt 记录</t>
  </si>
  <si>
    <t>C3 工具链/Agent编排深度</t>
  </si>
  <si>
    <t>(9–10) 充分组合 MCP/skill/hooks/子Agent/自动化脚本，AI在开发中起主导作用并显著提效</t>
  </si>
  <si>
    <t>(8) 运用多种AI能力且组合较合理</t>
  </si>
  <si>
    <t>(6–7) 仅基础对话式编码(问答补全)</t>
  </si>
  <si>
    <t>(0–5) AI运用浅、以人工编码为主</t>
  </si>
  <si>
    <t>C4 AI协作记录与代码AI占比</t>
  </si>
  <si>
    <t>(7) 记录完整可追溯，且达到会战设定的代码AI占比基线</t>
  </si>
  <si>
    <t>(6) 记录较完整，AI占比可估算</t>
  </si>
  <si>
    <t>(5) 记录零散、占比难核实</t>
  </si>
  <si>
    <t>(0–4) 无协作记录 / 无法佐证AI主导</t>
  </si>
  <si>
    <t>D 业务方需求评价
(20分)
由业务方代表评分</t>
  </si>
  <si>
    <t>D1 需求契合度</t>
  </si>
  <si>
    <t>(7–8) 精准命中真实痛点，可直接用于真实业务、无需大改</t>
  </si>
  <si>
    <t>(6) 基本契合，少量偏差需微调</t>
  </si>
  <si>
    <t>(5) 部分契合，需较多调整才能用</t>
  </si>
  <si>
    <t>(0–4) 偏离真实需求 / 不解决核心痛点</t>
  </si>
  <si>
    <t>D2 采用意愿与满意度</t>
  </si>
  <si>
    <t>(7–8) 满意度达优秀线，明确愿上线/推广/采购(有书面意向)</t>
  </si>
  <si>
    <t>(6) 满意，愿在改进后采用</t>
  </si>
  <si>
    <t>(5) 评价一般，需明显改进方可考虑</t>
  </si>
  <si>
    <t>(0–4) 不满意 / 明确不可用</t>
  </si>
  <si>
    <t>D3 价值量化</t>
  </si>
  <si>
    <t>(4) 给出明确量化提升(耗时↓X%/出错率↓/节省人力)</t>
  </si>
  <si>
    <t>(3) 有量化但不够充分</t>
  </si>
  <si>
    <t>(2) 仅定性描述价值</t>
  </si>
  <si>
    <t>(0–1) 无价值说明</t>
  </si>
  <si>
    <t>打分规则与流程（评分逻辑·公正性机制）</t>
  </si>
  <si>
    <t>§1 评分量表（统一标尺）</t>
  </si>
  <si>
    <t>• 每个评分项依据《详细评分细则》的可观察证据“选档”，再在该档区间内取整数分；无证据不给分。</t>
  </si>
  <si>
    <t>• 档位占满分比例固定：优90–100% / 良75–89% / 合60–74% / 不&lt;60%，保证不同评委对同一档含义一致。</t>
  </si>
  <si>
    <t>• 同一评分项在全赛道使用同一锚点，确保横向可比。</t>
  </si>
  <si>
    <t>§2 评审小组构成与利益回避</t>
  </si>
  <si>
    <t>• A/B/C(工程与AI)：每组由固定评审小组评，且同一赛道10组由同一小组评——保证赛道内强可比。</t>
  </si>
  <si>
    <t>• 评审小组人数 ≥3（架构导师 + AI小组）；C/E维度须含AI小组成员。</t>
  </si>
  <si>
    <t>• 利益回避：导师不得为自己带教的小组打分；存在同组/亲属等关系一律回避，由备用评委顶替，确保每组仍有≥3名合格评委。</t>
  </si>
  <si>
    <t>• D(业务)：由该需求的业务方代表按 D 档评分，真实评分、不可代填。</t>
  </si>
  <si>
    <t>§3 独立打分与防锚定</t>
  </si>
  <si>
    <t>• 评委背对背独立打分，提交前不互相讨论、不查看他人分数，规避从众与锚定效应。</t>
  </si>
  <si>
    <t>• 逐项填写并附简短证据/理由；证据缺失项不得计分。</t>
  </si>
  <si>
    <t>§4 校准（对齐标尺）</t>
  </si>
  <si>
    <t>• 正式打分前，评审小组对1个样例项目联合试评、对齐各档含义，再独立评全部组。</t>
  </si>
  <si>
    <t>§5 一致性校验与异常处理</t>
  </si>
  <si>
    <t>• 计算各评委对同一组 A+B+C 合计分的极差(最高−最低)。</t>
  </si>
  <si>
    <t>• 极差 ≤16分(≤20%)：直接进入聚合。</t>
  </si>
  <si>
    <t>• 极差 &gt;16分：就该组复议，仅澄清证据、不强行趋同；必要时重评。</t>
  </si>
  <si>
    <t>§6 多评委聚合（去偏）</t>
  </si>
  <si>
    <t>• 工程侧每组得分 = 各评委 A+B+C 合计的截尾均值：评委≥5人时去掉1个最高、1个最低再平均；3–4人时取算术平均。</t>
  </si>
  <si>
    <t>• 业务侧 D：单一业务方评分；多位业务代表则取均值。</t>
  </si>
  <si>
    <t>• 工程基础分 = 截尾均值(A+B+C) + D，四舍五入保留1位小数。</t>
  </si>
  <si>
    <t>§7 业务方评分的约束与稽核（控制不可比性）</t>
  </si>
  <si>
    <t>• 不同组业务方不同，分数天然不可直接横比，故：</t>
  </si>
  <si>
    <t xml:space="preserve">  ① D 权重封顶20%；② 业务方逐项给出证据(如愿上线/推广/采购)；</t>
  </si>
  <si>
    <t xml:space="preserve">  ③ AI小组稽核：D 与工程侧信号明显背离或无证据支撑者，退回重评或按证据校正；④ 满分须有明确采用承诺方可给出。</t>
  </si>
  <si>
    <t>§8 加分与门槛逻辑</t>
  </si>
  <si>
    <t>• 门槛(资格)：6项交付物齐全；缺核心项且未在24h补交→取消评优资格。</t>
  </si>
  <si>
    <t>• 加分前提：通过门槛 且 工程基础分 ≥60。</t>
  </si>
  <si>
    <t>• Skill加分 E ≤20，由AI小组校准后按细则给分(多人取截尾/均值)；无工程交付不计加分。</t>
  </si>
  <si>
    <t>• 综合总分 = 工程基础分(≤100) + Skill加分(≤20)，上限120。</t>
  </si>
  <si>
    <t>§9 排名与名次</t>
  </si>
  <si>
    <t>• 赛道奖(3名×5赛道)：以赛道内综合总分原始分排名(同评审小组、可比)。</t>
  </si>
  <si>
    <t>• 公司级“AI交付能力者名单”(跨赛道前30%)：各赛道评审小组与题目难度不同，原始分不可横比，改用赛道内标准化分(z分)统一排名：</t>
  </si>
  <si>
    <t xml:space="preserve">    z = (本组综合总分 − 本赛道均值) ÷ 本赛道标准差；按 z 由高到低取前30%。</t>
  </si>
  <si>
    <t>• 当某赛道标准差过小(数值不稳)时，改用赛道内百分位排名。</t>
  </si>
  <si>
    <t>§10 并列处理（决胜序）</t>
  </si>
  <si>
    <t>依次比较：① 业务方评价D → ② AI应用深度C → ③ 项目实现A → ④ 代码完整度B → ⑤ 交付更早/补交更少 → ⑥ 仍并列由评审委员会合议。</t>
  </si>
  <si>
    <t>§11 申诉与复核</t>
  </si>
  <si>
    <t>• 结果公示后24h内可书面申诉(指明评分项与证据)。</t>
  </si>
  <si>
    <t>• 复核委员会(AI小组负责人 + 1名无利害导师 + 总经办代表)裁定，结论为最终结果。</t>
  </si>
  <si>
    <t>• 仅复核“程序与证据”，不受理“主观感觉”类申诉。</t>
  </si>
  <si>
    <t>§12 计算示例（某赛道某组，5名评委）</t>
  </si>
  <si>
    <t>评委 A+B+C 合计：72 / 68 / 75 / 40 / 70 → 去最高75、最低40，余 72,68,70 → 截尾均值 70.0</t>
  </si>
  <si>
    <t>业务方 D = 16 → 工程基础分 = 70.0 + 16 = 86.0(通过门槛、≥60，计加分)</t>
  </si>
  <si>
    <t>Skill加分 E(AI小组截尾) = 9 → 综合总分 = 86.0 + 9 = 95.0</t>
  </si>
  <si>
    <t>示例赛道(见《赛道聚合与排名》10组)均值≈85.9、总体标准差≈14.5 → z =(95.0−85.9)/14.5 ≈ +0.63，赛道内居第4/10。</t>
  </si>
  <si>
    <t>说明：截尾剔除了异常低分(40，疑似误判/偏见)与最高分(75)，使结果更稳健公正；赛道奖看原始总分名次，跨赛道前30%看z分。</t>
  </si>
  <si>
    <t>工程准入门槛（必选）与 Skill 沉淀加分（加分项）</t>
  </si>
  <si>
    <t>一、6项交付物 = 准入门槛（缺项=不合格组，24h限时补交；逾期不计入评优）</t>
  </si>
  <si>
    <t>序</t>
  </si>
  <si>
    <t>必交交付物</t>
  </si>
  <si>
    <t>对应会战交付</t>
  </si>
  <si>
    <t>判定规则</t>
  </si>
  <si>
    <t>①</t>
  </si>
  <si>
    <t>可运行产品(公开链接/一键部署包)</t>
  </si>
  <si>
    <t>提交①</t>
  </si>
  <si>
    <t>核心项：缺失且未补交→A维度按不合格且取消评优资格</t>
  </si>
  <si>
    <t>②</t>
  </si>
  <si>
    <t>Git仓库最终版 + README</t>
  </si>
  <si>
    <t>提交②</t>
  </si>
  <si>
    <t>核心项：缺失→B维度归零</t>
  </si>
  <si>
    <t>③</t>
  </si>
  <si>
    <t>产品演示视频(3–5分钟,含团队介绍)</t>
  </si>
  <si>
    <t>提交③</t>
  </si>
  <si>
    <t>缺失→资格扣分</t>
  </si>
  <si>
    <t>④</t>
  </si>
  <si>
    <t>PRD/实施计划文档定稿(含AI能力点)</t>
  </si>
  <si>
    <t>提交④</t>
  </si>
  <si>
    <t>缺失→限时补交</t>
  </si>
  <si>
    <t>⑤</t>
  </si>
  <si>
    <t>AI协作记录完整版(prompts+对话+代码AI占比)</t>
  </si>
  <si>
    <t>提交⑤</t>
  </si>
  <si>
    <t>核心项：缺失→C维度封顶合格线，无法佐证AI主导→取消资格</t>
  </si>
  <si>
    <t>⑥</t>
  </si>
  <si>
    <t>业务方反馈评分表(真实评分,不可代填)</t>
  </si>
  <si>
    <t>提交⑥</t>
  </si>
  <si>
    <t>核心项：缺失→D维度归零</t>
  </si>
  <si>
    <t>二、工程必选说明</t>
  </si>
  <si>
    <t>• 任何赛题都必须交付“可工程化运行的产品/工具”作为基础分(100分)的载体。</t>
  </si>
  <si>
    <t>• 纯方案/纯文档/纯流程规范(无可运行工程载体)不予计分。</t>
  </si>
  <si>
    <t>• 工程基础分须 ≥60 且通过门槛，Skill加分方可计入。</t>
  </si>
  <si>
    <t>三、Skill沉淀加分细则（+0~20，前提：通过门槛且基础分≥60）</t>
  </si>
  <si>
    <t>项</t>
  </si>
  <si>
    <t>分值</t>
  </si>
  <si>
    <t>评判标准(分档)</t>
  </si>
  <si>
    <t>E1</t>
  </si>
  <si>
    <t>可复用 skill/工作流沉淀</t>
  </si>
  <si>
    <t>+0~10</t>
  </si>
  <si>
    <t>+9~10 形成≥1个高质量、开箱即用复用资产(Claude Code skill/提示词模板/脚本包/检查清单)；+5~8 有资产需打磨；+1~4 仅雏形；0 无</t>
  </si>
  <si>
    <t>E2</t>
  </si>
  <si>
    <t>通用性与可推广</t>
  </si>
  <si>
    <t>+0~6</t>
  </si>
  <si>
    <t>+5~6 跨场景通用且文档完善；+3~4 有一定通用性；+1~2 仅本场景可复用；0 无</t>
  </si>
  <si>
    <t>E3</t>
  </si>
  <si>
    <t>纳入公司资产库</t>
  </si>
  <si>
    <t>+0~4</t>
  </si>
  <si>
    <t>+4 已收录prompts库/最佳实践手册并被采纳；+2~3 已提交待收录；+1 部分提交；0 未提交</t>
  </si>
  <si>
    <t>评委打分表（单评委用·每组一份）</t>
  </si>
  <si>
    <t>赛道：</t>
  </si>
  <si>
    <t>组别/项目：</t>
  </si>
  <si>
    <t>评委：</t>
  </si>
  <si>
    <t>日期：</t>
  </si>
  <si>
    <t>准入门槛核查（由AI小组统一核查，任一“否”→限时补交）</t>
  </si>
  <si>
    <t>交付物</t>
  </si>
  <si>
    <t>是/否</t>
  </si>
  <si>
    <t>备注</t>
  </si>
  <si>
    <t>可运行产品</t>
  </si>
  <si>
    <t>Git+README</t>
  </si>
  <si>
    <t>演示视频</t>
  </si>
  <si>
    <t>PRD定稿</t>
  </si>
  <si>
    <t>AI协作记录</t>
  </si>
  <si>
    <t>业务方评分表</t>
  </si>
  <si>
    <t>维度</t>
  </si>
  <si>
    <t>得分</t>
  </si>
  <si>
    <t>证据/评语</t>
  </si>
  <si>
    <t>A 项目实现</t>
  </si>
  <si>
    <t>B 代码完整度</t>
  </si>
  <si>
    <t>B2 文档与可复现</t>
  </si>
  <si>
    <t>C Harness</t>
  </si>
  <si>
    <t>C4 AI协作记录与占比</t>
  </si>
  <si>
    <t>工程侧合计 A+B+C (满分80)</t>
  </si>
  <si>
    <t>说明：本表为单评委对 A/B/C 的独立打分(满分80：A30+B20+C30)。业务方D(满分20)、Skill加分E(≤20)分别由业务方代表、AI小组填写；多评委结果在《赛道聚合与排名》中按截尾均值合成基础分并计算名次。黄色为填写区，须逐项附证据。</t>
  </si>
  <si>
    <t>赛道聚合与排名（模板·含示例数据，使用时清空蓝/橙/绿输入区填真实分）</t>
  </si>
  <si>
    <t>B–F：各评委对该组 A+B+C 的合计(0–80)；H：业务方D(0–20)；J：Skill加分E(0–20)。G 截尾均值(≥5评委去最高最低)、I 基础分、K 综合总分、L 赛道内排名、M 标准化z分 均自动计算。</t>
  </si>
  <si>
    <t>组别</t>
  </si>
  <si>
    <t>评委1</t>
  </si>
  <si>
    <t>评委2</t>
  </si>
  <si>
    <t>评委3</t>
  </si>
  <si>
    <t>评委4</t>
  </si>
  <si>
    <t>评委5</t>
  </si>
  <si>
    <t>工程侧
截尾均值</t>
  </si>
  <si>
    <t>业务方D</t>
  </si>
  <si>
    <t>工程
基础分</t>
  </si>
  <si>
    <t>Skill
加分E</t>
  </si>
  <si>
    <t>综合
总分</t>
  </si>
  <si>
    <t>赛道内
排名</t>
  </si>
  <si>
    <t>标准化
z分</t>
  </si>
  <si>
    <t>注：蓝色=评委合计(A+B+C)输入；橙色=业务方D输入；绿色=Skill加分E输入。赛道奖按K列原始总分排名(L列)；跨赛道前30%按M列z分统一排名。评委3–4人时G列自动取算术平均。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</si>
</sst>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595959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b/>
      <sz val="11"/>
      <color rgb="FF1F4E7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1" xfId="0" applyFont="1" applyBorder="1"/>
    <xf numFmtId="0" fontId="0" fillId="6" borderId="1" xfId="0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7" borderId="1" xfId="0" applyFill="1" applyBorder="1"/>
    <xf numFmtId="0" fontId="4" fillId="7" borderId="1" xfId="0" applyFont="1" applyFill="1" applyBorder="1"/>
    <xf numFmtId="0" fontId="0" fillId="7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A1" sqref="A1:E1"/>
    </sheetView>
  </sheetViews>
  <sheetFormatPr defaultColWidth="9" defaultRowHeight="16.8" outlineLevelCol="4"/>
  <cols>
    <col min="1" max="1" width="15" customWidth="1"/>
    <col min="2" max="2" width="30" customWidth="1"/>
    <col min="3" max="3" width="13" customWidth="1"/>
    <col min="4" max="4" width="24" customWidth="1"/>
    <col min="5" max="5" width="16" customWidth="1"/>
  </cols>
  <sheetData>
    <row r="1" ht="30" customHeight="1" spans="1:5">
      <c r="A1" s="1" t="s">
        <v>0</v>
      </c>
    </row>
    <row r="2" ht="42" customHeight="1" spans="1:5">
      <c r="A2" s="2" t="s">
        <v>1</v>
      </c>
    </row>
    <row r="4" spans="1:5">
      <c r="A4" s="11" t="s">
        <v>2</v>
      </c>
    </row>
    <row r="5" ht="17" spans="1: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ht="31" spans="1:5">
      <c r="A6" s="28" t="s">
        <v>8</v>
      </c>
      <c r="B6" s="34" t="s">
        <v>9</v>
      </c>
      <c r="C6" s="35">
        <v>30</v>
      </c>
      <c r="D6" s="35" t="s">
        <v>10</v>
      </c>
      <c r="E6" s="35" t="s">
        <v>11</v>
      </c>
    </row>
    <row r="7" ht="31" spans="1:5">
      <c r="A7" s="15"/>
      <c r="B7" s="34" t="s">
        <v>12</v>
      </c>
      <c r="C7" s="35">
        <v>20</v>
      </c>
      <c r="D7" s="35" t="s">
        <v>10</v>
      </c>
      <c r="E7" s="35" t="s">
        <v>11</v>
      </c>
    </row>
    <row r="8" ht="31" spans="1:5">
      <c r="A8" s="15"/>
      <c r="B8" s="34" t="s">
        <v>13</v>
      </c>
      <c r="C8" s="35">
        <v>30</v>
      </c>
      <c r="D8" s="35" t="s">
        <v>14</v>
      </c>
      <c r="E8" s="35" t="s">
        <v>11</v>
      </c>
    </row>
    <row r="9" ht="31" spans="1:5">
      <c r="A9" s="16"/>
      <c r="B9" s="36" t="s">
        <v>15</v>
      </c>
      <c r="C9" s="21">
        <v>20</v>
      </c>
      <c r="D9" s="21" t="s">
        <v>16</v>
      </c>
      <c r="E9" s="21" t="s">
        <v>11</v>
      </c>
    </row>
    <row r="10" spans="1:5">
      <c r="A10" s="37" t="s">
        <v>17</v>
      </c>
      <c r="B10" s="38" t="s">
        <v>18</v>
      </c>
      <c r="C10" s="39">
        <v>100</v>
      </c>
      <c r="D10" s="39" t="s">
        <v>19</v>
      </c>
      <c r="E10" s="39" t="s">
        <v>19</v>
      </c>
    </row>
    <row r="11" ht="31" spans="1:5">
      <c r="A11" s="40" t="s">
        <v>20</v>
      </c>
      <c r="B11" s="41" t="s">
        <v>21</v>
      </c>
      <c r="C11" s="24" t="s">
        <v>22</v>
      </c>
      <c r="D11" s="24" t="s">
        <v>23</v>
      </c>
      <c r="E11" s="24" t="s">
        <v>24</v>
      </c>
    </row>
    <row r="12" ht="31" spans="1:5">
      <c r="A12" s="42" t="s">
        <v>25</v>
      </c>
      <c r="B12" s="36" t="s">
        <v>26</v>
      </c>
      <c r="C12" s="21" t="s">
        <v>27</v>
      </c>
      <c r="D12" s="21" t="s">
        <v>28</v>
      </c>
      <c r="E12" s="21" t="s">
        <v>29</v>
      </c>
    </row>
    <row r="13" spans="1:5">
      <c r="A13" s="43" t="s">
        <v>30</v>
      </c>
      <c r="B13" s="44" t="s">
        <v>31</v>
      </c>
      <c r="C13" s="45" t="s">
        <v>32</v>
      </c>
      <c r="D13" s="45" t="s">
        <v>19</v>
      </c>
      <c r="E13" s="45" t="s">
        <v>19</v>
      </c>
    </row>
    <row r="15" spans="1:5">
      <c r="A15" s="11" t="s">
        <v>33</v>
      </c>
    </row>
    <row r="16" spans="1:5">
      <c r="A16" s="23" t="s">
        <v>34</v>
      </c>
    </row>
    <row r="17" spans="1:5">
      <c r="A17" s="23" t="s">
        <v>35</v>
      </c>
    </row>
    <row r="18" spans="1:5">
      <c r="A18" s="23" t="s">
        <v>36</v>
      </c>
    </row>
    <row r="19" spans="1:5">
      <c r="A19" s="23" t="s">
        <v>37</v>
      </c>
    </row>
    <row r="20" spans="1:5">
      <c r="A20" s="23" t="s">
        <v>38</v>
      </c>
    </row>
    <row r="22" spans="1:5">
      <c r="A22" s="11" t="s">
        <v>39</v>
      </c>
    </row>
    <row r="23" ht="17" spans="1:5">
      <c r="A23" s="3" t="s">
        <v>40</v>
      </c>
      <c r="B23" s="3" t="s">
        <v>41</v>
      </c>
      <c r="C23" s="3" t="s">
        <v>42</v>
      </c>
      <c r="D23" s="3" t="s">
        <v>43</v>
      </c>
      <c r="E23" s="3" t="s">
        <v>43</v>
      </c>
    </row>
    <row r="24" spans="1:5">
      <c r="A24" s="30" t="s">
        <v>44</v>
      </c>
      <c r="B24" s="30" t="s">
        <v>45</v>
      </c>
      <c r="C24" s="46" t="s">
        <v>46</v>
      </c>
      <c r="D24" s="47"/>
      <c r="E24" s="12"/>
    </row>
    <row r="25" spans="1:5">
      <c r="A25" s="30" t="s">
        <v>47</v>
      </c>
      <c r="B25" s="30" t="s">
        <v>48</v>
      </c>
      <c r="C25" s="46" t="s">
        <v>49</v>
      </c>
      <c r="D25" s="47"/>
      <c r="E25" s="12"/>
    </row>
    <row r="26" spans="1:5">
      <c r="A26" s="30" t="s">
        <v>50</v>
      </c>
      <c r="B26" s="30" t="s">
        <v>51</v>
      </c>
      <c r="C26" s="46" t="s">
        <v>52</v>
      </c>
      <c r="D26" s="47"/>
      <c r="E26" s="12"/>
    </row>
    <row r="27" spans="1:5">
      <c r="A27" s="30" t="s">
        <v>53</v>
      </c>
      <c r="B27" s="30" t="s">
        <v>54</v>
      </c>
      <c r="C27" s="46" t="s">
        <v>55</v>
      </c>
      <c r="D27" s="47"/>
      <c r="E27" s="12"/>
    </row>
    <row r="29" spans="1:5">
      <c r="A29" s="11" t="s">
        <v>56</v>
      </c>
    </row>
    <row r="30" spans="1:5">
      <c r="A30" s="23" t="s">
        <v>57</v>
      </c>
    </row>
    <row r="31" spans="1:5">
      <c r="A31" s="23" t="s">
        <v>58</v>
      </c>
    </row>
    <row r="32" spans="1:5">
      <c r="A32" s="23" t="s">
        <v>59</v>
      </c>
    </row>
  </sheetData>
  <mergeCells count="15">
    <mergeCell ref="A1:E1"/>
    <mergeCell ref="A2:E2"/>
    <mergeCell ref="A16:E16"/>
    <mergeCell ref="A17:E17"/>
    <mergeCell ref="A18:E18"/>
    <mergeCell ref="A19:E19"/>
    <mergeCell ref="A20:E20"/>
    <mergeCell ref="C24:E24"/>
    <mergeCell ref="C25:E25"/>
    <mergeCell ref="C26:E26"/>
    <mergeCell ref="C27:E27"/>
    <mergeCell ref="A30:E30"/>
    <mergeCell ref="A31:E31"/>
    <mergeCell ref="A32:E32"/>
    <mergeCell ref="A6:A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ySplit="3" topLeftCell="A4" activePane="bottomLeft" state="frozen"/>
      <selection/>
      <selection pane="bottomLeft" activeCell="A1" sqref="A1:G1"/>
    </sheetView>
  </sheetViews>
  <sheetFormatPr defaultColWidth="9" defaultRowHeight="16.8" outlineLevelCol="6"/>
  <cols>
    <col min="1" max="1" width="12" customWidth="1"/>
    <col min="2" max="2" width="21" customWidth="1"/>
    <col min="3" max="3" width="7" customWidth="1"/>
    <col min="4" max="4" width="33" customWidth="1"/>
    <col min="5" max="5" width="30" customWidth="1"/>
    <col min="6" max="6" width="28" customWidth="1"/>
    <col min="7" max="7" width="26" customWidth="1"/>
  </cols>
  <sheetData>
    <row r="1" ht="26" customHeight="1" spans="1:7">
      <c r="A1" s="1" t="s">
        <v>60</v>
      </c>
    </row>
    <row r="2" ht="44" customHeight="1" spans="1:7">
      <c r="A2" s="2" t="s">
        <v>61</v>
      </c>
    </row>
    <row r="3" ht="34" spans="1:7">
      <c r="A3" s="3" t="s">
        <v>62</v>
      </c>
      <c r="B3" s="3" t="s">
        <v>63</v>
      </c>
      <c r="C3" s="3" t="s">
        <v>64</v>
      </c>
      <c r="D3" s="3" t="s">
        <v>44</v>
      </c>
      <c r="E3" s="3" t="s">
        <v>47</v>
      </c>
      <c r="F3" s="3" t="s">
        <v>50</v>
      </c>
      <c r="G3" s="3" t="s">
        <v>53</v>
      </c>
    </row>
    <row r="4" ht="56" customHeight="1" spans="1:7">
      <c r="A4" s="28" t="s">
        <v>65</v>
      </c>
      <c r="B4" s="29" t="s">
        <v>66</v>
      </c>
      <c r="C4" s="30">
        <v>12</v>
      </c>
      <c r="D4" s="31" t="s">
        <v>67</v>
      </c>
      <c r="E4" s="31" t="s">
        <v>68</v>
      </c>
      <c r="F4" s="31" t="s">
        <v>69</v>
      </c>
      <c r="G4" s="31" t="s">
        <v>70</v>
      </c>
    </row>
    <row r="5" ht="56" customHeight="1" spans="1:7">
      <c r="A5" s="15"/>
      <c r="B5" s="29" t="s">
        <v>71</v>
      </c>
      <c r="C5" s="30">
        <v>8</v>
      </c>
      <c r="D5" s="31" t="s">
        <v>72</v>
      </c>
      <c r="E5" s="31" t="s">
        <v>73</v>
      </c>
      <c r="F5" s="31" t="s">
        <v>74</v>
      </c>
      <c r="G5" s="31" t="s">
        <v>75</v>
      </c>
    </row>
    <row r="6" ht="56" customHeight="1" spans="1:7">
      <c r="A6" s="15"/>
      <c r="B6" s="29" t="s">
        <v>76</v>
      </c>
      <c r="C6" s="30">
        <v>6</v>
      </c>
      <c r="D6" s="31" t="s">
        <v>77</v>
      </c>
      <c r="E6" s="31" t="s">
        <v>78</v>
      </c>
      <c r="F6" s="31" t="s">
        <v>79</v>
      </c>
      <c r="G6" s="31" t="s">
        <v>80</v>
      </c>
    </row>
    <row r="7" ht="56" customHeight="1" spans="1:7">
      <c r="A7" s="16"/>
      <c r="B7" s="29" t="s">
        <v>81</v>
      </c>
      <c r="C7" s="30">
        <v>4</v>
      </c>
      <c r="D7" s="31" t="s">
        <v>82</v>
      </c>
      <c r="E7" s="31" t="s">
        <v>83</v>
      </c>
      <c r="F7" s="31" t="s">
        <v>84</v>
      </c>
      <c r="G7" s="31" t="s">
        <v>85</v>
      </c>
    </row>
    <row r="8" ht="56" customHeight="1" spans="1:7">
      <c r="A8" s="32" t="s">
        <v>86</v>
      </c>
      <c r="B8" s="29" t="s">
        <v>87</v>
      </c>
      <c r="C8" s="30">
        <v>4</v>
      </c>
      <c r="D8" s="31" t="s">
        <v>88</v>
      </c>
      <c r="E8" s="31" t="s">
        <v>89</v>
      </c>
      <c r="F8" s="31" t="s">
        <v>90</v>
      </c>
      <c r="G8" s="31" t="s">
        <v>91</v>
      </c>
    </row>
    <row r="9" ht="56" customHeight="1" spans="1:7">
      <c r="A9" s="15"/>
      <c r="B9" s="29" t="s">
        <v>92</v>
      </c>
      <c r="C9" s="30">
        <v>5</v>
      </c>
      <c r="D9" s="31" t="s">
        <v>93</v>
      </c>
      <c r="E9" s="31" t="s">
        <v>94</v>
      </c>
      <c r="F9" s="31" t="s">
        <v>95</v>
      </c>
      <c r="G9" s="31" t="s">
        <v>96</v>
      </c>
    </row>
    <row r="10" ht="56" customHeight="1" spans="1:7">
      <c r="A10" s="15"/>
      <c r="B10" s="29" t="s">
        <v>97</v>
      </c>
      <c r="C10" s="30">
        <v>6</v>
      </c>
      <c r="D10" s="31" t="s">
        <v>98</v>
      </c>
      <c r="E10" s="31" t="s">
        <v>99</v>
      </c>
      <c r="F10" s="31" t="s">
        <v>100</v>
      </c>
      <c r="G10" s="31" t="s">
        <v>101</v>
      </c>
    </row>
    <row r="11" ht="56" customHeight="1" spans="1:7">
      <c r="A11" s="16"/>
      <c r="B11" s="29" t="s">
        <v>102</v>
      </c>
      <c r="C11" s="30">
        <v>5</v>
      </c>
      <c r="D11" s="31" t="s">
        <v>103</v>
      </c>
      <c r="E11" s="31" t="s">
        <v>104</v>
      </c>
      <c r="F11" s="31" t="s">
        <v>105</v>
      </c>
      <c r="G11" s="31" t="s">
        <v>106</v>
      </c>
    </row>
    <row r="12" ht="56" customHeight="1" spans="1:7">
      <c r="A12" s="28" t="s">
        <v>107</v>
      </c>
      <c r="B12" s="29" t="s">
        <v>108</v>
      </c>
      <c r="C12" s="30">
        <v>6</v>
      </c>
      <c r="D12" s="31" t="s">
        <v>109</v>
      </c>
      <c r="E12" s="31" t="s">
        <v>110</v>
      </c>
      <c r="F12" s="31" t="s">
        <v>111</v>
      </c>
      <c r="G12" s="31" t="s">
        <v>112</v>
      </c>
    </row>
    <row r="13" ht="56" customHeight="1" spans="1:7">
      <c r="A13" s="15"/>
      <c r="B13" s="29" t="s">
        <v>113</v>
      </c>
      <c r="C13" s="30">
        <v>7</v>
      </c>
      <c r="D13" s="31" t="s">
        <v>114</v>
      </c>
      <c r="E13" s="31" t="s">
        <v>115</v>
      </c>
      <c r="F13" s="31" t="s">
        <v>116</v>
      </c>
      <c r="G13" s="31" t="s">
        <v>117</v>
      </c>
    </row>
    <row r="14" ht="56" customHeight="1" spans="1:7">
      <c r="A14" s="15"/>
      <c r="B14" s="29" t="s">
        <v>118</v>
      </c>
      <c r="C14" s="30">
        <v>10</v>
      </c>
      <c r="D14" s="31" t="s">
        <v>119</v>
      </c>
      <c r="E14" s="31" t="s">
        <v>120</v>
      </c>
      <c r="F14" s="31" t="s">
        <v>121</v>
      </c>
      <c r="G14" s="31" t="s">
        <v>122</v>
      </c>
    </row>
    <row r="15" ht="56" customHeight="1" spans="1:7">
      <c r="A15" s="16"/>
      <c r="B15" s="29" t="s">
        <v>123</v>
      </c>
      <c r="C15" s="30">
        <v>7</v>
      </c>
      <c r="D15" s="31" t="s">
        <v>124</v>
      </c>
      <c r="E15" s="31" t="s">
        <v>125</v>
      </c>
      <c r="F15" s="31" t="s">
        <v>126</v>
      </c>
      <c r="G15" s="31" t="s">
        <v>127</v>
      </c>
    </row>
    <row r="16" ht="56" customHeight="1" spans="1:7">
      <c r="A16" s="33" t="s">
        <v>128</v>
      </c>
      <c r="B16" s="29" t="s">
        <v>129</v>
      </c>
      <c r="C16" s="30">
        <v>8</v>
      </c>
      <c r="D16" s="31" t="s">
        <v>130</v>
      </c>
      <c r="E16" s="31" t="s">
        <v>131</v>
      </c>
      <c r="F16" s="31" t="s">
        <v>132</v>
      </c>
      <c r="G16" s="31" t="s">
        <v>133</v>
      </c>
    </row>
    <row r="17" ht="56" customHeight="1" spans="1:7">
      <c r="A17" s="15"/>
      <c r="B17" s="29" t="s">
        <v>134</v>
      </c>
      <c r="C17" s="30">
        <v>8</v>
      </c>
      <c r="D17" s="31" t="s">
        <v>135</v>
      </c>
      <c r="E17" s="31" t="s">
        <v>136</v>
      </c>
      <c r="F17" s="31" t="s">
        <v>137</v>
      </c>
      <c r="G17" s="31" t="s">
        <v>138</v>
      </c>
    </row>
    <row r="18" ht="56" customHeight="1" spans="1:7">
      <c r="A18" s="16"/>
      <c r="B18" s="29" t="s">
        <v>139</v>
      </c>
      <c r="C18" s="30">
        <v>4</v>
      </c>
      <c r="D18" s="31" t="s">
        <v>140</v>
      </c>
      <c r="E18" s="31" t="s">
        <v>141</v>
      </c>
      <c r="F18" s="31" t="s">
        <v>142</v>
      </c>
      <c r="G18" s="31" t="s">
        <v>143</v>
      </c>
    </row>
  </sheetData>
  <mergeCells count="6">
    <mergeCell ref="A1:G1"/>
    <mergeCell ref="A2:G2"/>
    <mergeCell ref="A4:A7"/>
    <mergeCell ref="A8:A11"/>
    <mergeCell ref="A12:A15"/>
    <mergeCell ref="A16:A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workbookViewId="0">
      <selection activeCell="A1" sqref="A1:C1"/>
    </sheetView>
  </sheetViews>
  <sheetFormatPr defaultColWidth="9" defaultRowHeight="16.8" outlineLevelCol="2"/>
  <cols>
    <col min="1" max="1" width="4" customWidth="1"/>
    <col min="2" max="2" width="40" customWidth="1"/>
    <col min="3" max="3" width="52" customWidth="1"/>
  </cols>
  <sheetData>
    <row r="1" ht="26" customHeight="1" spans="1:2">
      <c r="A1" s="1" t="s">
        <v>144</v>
      </c>
    </row>
    <row r="2" spans="1:2">
      <c r="A2" s="26" t="s">
        <v>145</v>
      </c>
    </row>
    <row r="3" ht="43" customHeight="1" spans="1:2">
      <c r="B3" s="23" t="s">
        <v>146</v>
      </c>
    </row>
    <row r="4" ht="43" customHeight="1" spans="1:2">
      <c r="B4" s="23" t="s">
        <v>147</v>
      </c>
    </row>
    <row r="5" ht="29" customHeight="1" spans="1:2">
      <c r="B5" s="23" t="s">
        <v>148</v>
      </c>
    </row>
    <row r="6" spans="1:2">
      <c r="A6" s="26" t="s">
        <v>149</v>
      </c>
    </row>
    <row r="7" ht="43" customHeight="1" spans="1:2">
      <c r="B7" s="23" t="s">
        <v>150</v>
      </c>
    </row>
    <row r="8" ht="29" customHeight="1" spans="1:2">
      <c r="B8" s="23" t="s">
        <v>151</v>
      </c>
    </row>
    <row r="9" ht="43" customHeight="1" spans="1:2">
      <c r="B9" s="23" t="s">
        <v>152</v>
      </c>
    </row>
    <row r="10" ht="29" customHeight="1" spans="1:2">
      <c r="B10" s="23" t="s">
        <v>153</v>
      </c>
    </row>
    <row r="11" spans="1:2">
      <c r="A11" s="26" t="s">
        <v>154</v>
      </c>
    </row>
    <row r="12" ht="29" customHeight="1" spans="1:2">
      <c r="B12" s="23" t="s">
        <v>155</v>
      </c>
    </row>
    <row r="13" ht="29" customHeight="1" spans="1:2">
      <c r="B13" s="23" t="s">
        <v>156</v>
      </c>
    </row>
    <row r="14" spans="1:2">
      <c r="A14" s="26" t="s">
        <v>157</v>
      </c>
    </row>
    <row r="15" ht="29" customHeight="1" spans="1:2">
      <c r="B15" s="23" t="s">
        <v>158</v>
      </c>
    </row>
    <row r="16" spans="1:2">
      <c r="A16" s="26" t="s">
        <v>159</v>
      </c>
    </row>
    <row r="17" ht="29" customHeight="1" spans="1:2">
      <c r="B17" s="23" t="s">
        <v>160</v>
      </c>
    </row>
    <row r="18" ht="29" customHeight="1" spans="1:2">
      <c r="B18" s="23" t="s">
        <v>161</v>
      </c>
    </row>
    <row r="19" ht="29" customHeight="1" spans="1:2">
      <c r="B19" s="23" t="s">
        <v>162</v>
      </c>
    </row>
    <row r="20" spans="1:2">
      <c r="A20" s="26" t="s">
        <v>163</v>
      </c>
    </row>
    <row r="21" ht="43" customHeight="1" spans="1:2">
      <c r="B21" s="27" t="s">
        <v>164</v>
      </c>
    </row>
    <row r="22" ht="29" customHeight="1" spans="1:2">
      <c r="B22" s="23" t="s">
        <v>165</v>
      </c>
    </row>
    <row r="23" ht="29" customHeight="1" spans="1:2">
      <c r="B23" s="23" t="s">
        <v>166</v>
      </c>
    </row>
    <row r="24" spans="1:2">
      <c r="A24" s="26" t="s">
        <v>167</v>
      </c>
    </row>
    <row r="25" ht="29" customHeight="1" spans="1:2">
      <c r="B25" s="23" t="s">
        <v>168</v>
      </c>
    </row>
    <row r="26" ht="29" customHeight="1" spans="1:2">
      <c r="B26" s="23" t="s">
        <v>169</v>
      </c>
    </row>
    <row r="27" ht="43" customHeight="1" spans="1:2">
      <c r="B27" s="23" t="s">
        <v>170</v>
      </c>
    </row>
    <row r="28" spans="1:2">
      <c r="A28" s="26" t="s">
        <v>171</v>
      </c>
    </row>
    <row r="29" ht="29" customHeight="1" spans="1:2">
      <c r="B29" s="23" t="s">
        <v>172</v>
      </c>
    </row>
    <row r="30" ht="29" customHeight="1" spans="1:2">
      <c r="B30" s="23" t="s">
        <v>173</v>
      </c>
    </row>
    <row r="31" ht="43" customHeight="1" spans="1:2">
      <c r="B31" s="27" t="s">
        <v>174</v>
      </c>
    </row>
    <row r="32" ht="43" customHeight="1" spans="1:2">
      <c r="B32" s="23" t="s">
        <v>175</v>
      </c>
    </row>
    <row r="33" spans="1:2">
      <c r="A33" s="26" t="s">
        <v>176</v>
      </c>
    </row>
    <row r="34" ht="29" customHeight="1" spans="1:2">
      <c r="B34" s="27" t="s">
        <v>177</v>
      </c>
    </row>
    <row r="35" ht="43" customHeight="1" spans="1:2">
      <c r="B35" s="27" t="s">
        <v>178</v>
      </c>
    </row>
    <row r="36" ht="43" customHeight="1" spans="1:2">
      <c r="B36" s="23" t="s">
        <v>179</v>
      </c>
    </row>
    <row r="37" ht="29" customHeight="1" spans="1:2">
      <c r="B37" s="23" t="s">
        <v>180</v>
      </c>
    </row>
    <row r="38" spans="1:2">
      <c r="A38" s="26" t="s">
        <v>181</v>
      </c>
    </row>
    <row r="39" ht="43" customHeight="1" spans="1:2">
      <c r="B39" s="23" t="s">
        <v>182</v>
      </c>
    </row>
    <row r="40" spans="1:2">
      <c r="A40" s="26" t="s">
        <v>183</v>
      </c>
    </row>
    <row r="41" ht="29" customHeight="1" spans="1:2">
      <c r="B41" s="23" t="s">
        <v>184</v>
      </c>
    </row>
    <row r="42" ht="43" customHeight="1" spans="1:2">
      <c r="B42" s="23" t="s">
        <v>185</v>
      </c>
    </row>
    <row r="43" ht="29" customHeight="1" spans="1:2">
      <c r="B43" s="23" t="s">
        <v>186</v>
      </c>
    </row>
    <row r="44" spans="1:2">
      <c r="A44" s="26" t="s">
        <v>187</v>
      </c>
    </row>
    <row r="45" ht="43" customHeight="1" spans="1:2">
      <c r="B45" s="27" t="s">
        <v>188</v>
      </c>
    </row>
    <row r="46" ht="43" customHeight="1" spans="1:2">
      <c r="B46" s="23" t="s">
        <v>189</v>
      </c>
    </row>
    <row r="47" ht="43" customHeight="1" spans="1:2">
      <c r="B47" s="23" t="s">
        <v>190</v>
      </c>
    </row>
    <row r="48" ht="43" customHeight="1" spans="1:2">
      <c r="B48" s="27" t="s">
        <v>191</v>
      </c>
    </row>
    <row r="49" ht="43" customHeight="1" spans="2:2">
      <c r="B49" s="23" t="s">
        <v>192</v>
      </c>
    </row>
  </sheetData>
  <mergeCells count="49">
    <mergeCell ref="A1:C1"/>
    <mergeCell ref="A2:C2"/>
    <mergeCell ref="B3:C3"/>
    <mergeCell ref="B4:C4"/>
    <mergeCell ref="B5:C5"/>
    <mergeCell ref="A6:C6"/>
    <mergeCell ref="B7:C7"/>
    <mergeCell ref="B8:C8"/>
    <mergeCell ref="B9:C9"/>
    <mergeCell ref="B10:C10"/>
    <mergeCell ref="A11:C11"/>
    <mergeCell ref="B12:C12"/>
    <mergeCell ref="B13:C13"/>
    <mergeCell ref="A14:C14"/>
    <mergeCell ref="B15:C15"/>
    <mergeCell ref="A16:C16"/>
    <mergeCell ref="B17:C17"/>
    <mergeCell ref="B18:C18"/>
    <mergeCell ref="B19:C19"/>
    <mergeCell ref="A20:C20"/>
    <mergeCell ref="B21:C21"/>
    <mergeCell ref="B22:C22"/>
    <mergeCell ref="B23:C23"/>
    <mergeCell ref="A24:C24"/>
    <mergeCell ref="B25:C25"/>
    <mergeCell ref="B26:C26"/>
    <mergeCell ref="B27:C27"/>
    <mergeCell ref="A28:C28"/>
    <mergeCell ref="B29:C29"/>
    <mergeCell ref="B30:C30"/>
    <mergeCell ref="B31:C31"/>
    <mergeCell ref="B32:C32"/>
    <mergeCell ref="A33:C33"/>
    <mergeCell ref="B34:C34"/>
    <mergeCell ref="B35:C35"/>
    <mergeCell ref="B36:C36"/>
    <mergeCell ref="B37:C37"/>
    <mergeCell ref="A38:C38"/>
    <mergeCell ref="B39:C39"/>
    <mergeCell ref="A40:C40"/>
    <mergeCell ref="B41:C41"/>
    <mergeCell ref="B42:C42"/>
    <mergeCell ref="B43:C43"/>
    <mergeCell ref="A44:C44"/>
    <mergeCell ref="B45:C45"/>
    <mergeCell ref="B46:C46"/>
    <mergeCell ref="B47:C47"/>
    <mergeCell ref="B48:C48"/>
    <mergeCell ref="B49:C4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6.8" outlineLevelCol="3"/>
  <cols>
    <col min="1" max="1" width="5" customWidth="1"/>
    <col min="2" max="2" width="30" customWidth="1"/>
    <col min="3" max="3" width="15" customWidth="1"/>
    <col min="4" max="4" width="42" customWidth="1"/>
  </cols>
  <sheetData>
    <row r="1" ht="24" customHeight="1" spans="1:4">
      <c r="A1" s="1" t="s">
        <v>193</v>
      </c>
    </row>
    <row r="2" spans="1:4">
      <c r="A2" s="11" t="s">
        <v>194</v>
      </c>
    </row>
    <row r="3" ht="17" spans="1:4">
      <c r="A3" s="3" t="s">
        <v>195</v>
      </c>
      <c r="B3" s="3" t="s">
        <v>196</v>
      </c>
      <c r="C3" s="3" t="s">
        <v>197</v>
      </c>
      <c r="D3" s="3" t="s">
        <v>198</v>
      </c>
    </row>
    <row r="4" ht="32" customHeight="1" spans="1:4">
      <c r="A4" s="21" t="s">
        <v>199</v>
      </c>
      <c r="B4" s="22" t="s">
        <v>200</v>
      </c>
      <c r="C4" s="22" t="s">
        <v>201</v>
      </c>
      <c r="D4" s="22" t="s">
        <v>202</v>
      </c>
    </row>
    <row r="5" ht="32" customHeight="1" spans="1:4">
      <c r="A5" s="21" t="s">
        <v>203</v>
      </c>
      <c r="B5" s="22" t="s">
        <v>204</v>
      </c>
      <c r="C5" s="22" t="s">
        <v>205</v>
      </c>
      <c r="D5" s="22" t="s">
        <v>206</v>
      </c>
    </row>
    <row r="6" ht="32" customHeight="1" spans="1:4">
      <c r="A6" s="21" t="s">
        <v>207</v>
      </c>
      <c r="B6" s="22" t="s">
        <v>208</v>
      </c>
      <c r="C6" s="22" t="s">
        <v>209</v>
      </c>
      <c r="D6" s="22" t="s">
        <v>210</v>
      </c>
    </row>
    <row r="7" ht="32" customHeight="1" spans="1:4">
      <c r="A7" s="21" t="s">
        <v>211</v>
      </c>
      <c r="B7" s="22" t="s">
        <v>212</v>
      </c>
      <c r="C7" s="22" t="s">
        <v>213</v>
      </c>
      <c r="D7" s="22" t="s">
        <v>214</v>
      </c>
    </row>
    <row r="8" ht="32" customHeight="1" spans="1:4">
      <c r="A8" s="21" t="s">
        <v>215</v>
      </c>
      <c r="B8" s="22" t="s">
        <v>216</v>
      </c>
      <c r="C8" s="22" t="s">
        <v>217</v>
      </c>
      <c r="D8" s="22" t="s">
        <v>218</v>
      </c>
    </row>
    <row r="9" ht="32" customHeight="1" spans="1:4">
      <c r="A9" s="21" t="s">
        <v>219</v>
      </c>
      <c r="B9" s="22" t="s">
        <v>220</v>
      </c>
      <c r="C9" s="22" t="s">
        <v>221</v>
      </c>
      <c r="D9" s="22" t="s">
        <v>222</v>
      </c>
    </row>
    <row r="11" spans="1:4">
      <c r="A11" s="11" t="s">
        <v>223</v>
      </c>
    </row>
    <row r="12" spans="1:4">
      <c r="A12" s="23" t="s">
        <v>224</v>
      </c>
    </row>
    <row r="13" spans="1:4">
      <c r="A13" s="23" t="s">
        <v>225</v>
      </c>
    </row>
    <row r="14" spans="1:4">
      <c r="A14" s="23" t="s">
        <v>226</v>
      </c>
    </row>
    <row r="16" spans="1:4">
      <c r="A16" s="11" t="s">
        <v>227</v>
      </c>
    </row>
    <row r="17" ht="17" spans="1:4">
      <c r="A17" s="3" t="s">
        <v>228</v>
      </c>
      <c r="B17" s="3" t="s">
        <v>20</v>
      </c>
      <c r="C17" s="3" t="s">
        <v>229</v>
      </c>
      <c r="D17" s="3" t="s">
        <v>230</v>
      </c>
    </row>
    <row r="18" ht="44" customHeight="1" spans="1:4">
      <c r="A18" s="24" t="s">
        <v>231</v>
      </c>
      <c r="B18" s="22" t="s">
        <v>232</v>
      </c>
      <c r="C18" s="25" t="s">
        <v>233</v>
      </c>
      <c r="D18" s="22" t="s">
        <v>234</v>
      </c>
    </row>
    <row r="19" ht="44" customHeight="1" spans="1:4">
      <c r="A19" s="24" t="s">
        <v>235</v>
      </c>
      <c r="B19" s="22" t="s">
        <v>236</v>
      </c>
      <c r="C19" s="25" t="s">
        <v>237</v>
      </c>
      <c r="D19" s="22" t="s">
        <v>238</v>
      </c>
    </row>
    <row r="20" ht="44" customHeight="1" spans="1:4">
      <c r="A20" s="24" t="s">
        <v>239</v>
      </c>
      <c r="B20" s="22" t="s">
        <v>240</v>
      </c>
      <c r="C20" s="25" t="s">
        <v>241</v>
      </c>
      <c r="D20" s="22" t="s">
        <v>242</v>
      </c>
    </row>
  </sheetData>
  <mergeCells count="7">
    <mergeCell ref="A1:D1"/>
    <mergeCell ref="A2:D2"/>
    <mergeCell ref="A11:D11"/>
    <mergeCell ref="A12:D12"/>
    <mergeCell ref="A13:D13"/>
    <mergeCell ref="A14:D14"/>
    <mergeCell ref="A16:D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selection activeCell="A1" sqref="A1:E1"/>
    </sheetView>
  </sheetViews>
  <sheetFormatPr defaultColWidth="9" defaultRowHeight="16.8" outlineLevelCol="4"/>
  <cols>
    <col min="1" max="1" width="11" customWidth="1"/>
    <col min="2" max="2" width="26" customWidth="1"/>
    <col min="3" max="4" width="8" customWidth="1"/>
    <col min="5" max="5" width="30" customWidth="1"/>
  </cols>
  <sheetData>
    <row r="1" ht="22" customHeight="1" spans="1:5">
      <c r="A1" s="1" t="s">
        <v>243</v>
      </c>
    </row>
    <row r="2" spans="1:5">
      <c r="A2" s="9" t="s">
        <v>244</v>
      </c>
      <c r="B2" s="10"/>
    </row>
    <row r="3" spans="1:5">
      <c r="A3" s="9" t="s">
        <v>245</v>
      </c>
      <c r="B3" s="10"/>
    </row>
    <row r="4" spans="1:5">
      <c r="A4" s="9" t="s">
        <v>246</v>
      </c>
      <c r="B4" s="10"/>
    </row>
    <row r="5" spans="1:5">
      <c r="A5" s="9" t="s">
        <v>247</v>
      </c>
      <c r="B5" s="10"/>
    </row>
    <row r="6" spans="1:5">
      <c r="A6" s="11" t="s">
        <v>248</v>
      </c>
    </row>
    <row r="7" ht="17" spans="1:5">
      <c r="A7" s="3" t="s">
        <v>195</v>
      </c>
      <c r="B7" s="3" t="s">
        <v>249</v>
      </c>
      <c r="C7" s="3" t="s">
        <v>250</v>
      </c>
      <c r="D7" s="12"/>
      <c r="E7" s="3" t="s">
        <v>251</v>
      </c>
    </row>
    <row r="8" ht="17" spans="1:5">
      <c r="A8" s="4" t="s">
        <v>199</v>
      </c>
      <c r="B8" s="13" t="s">
        <v>252</v>
      </c>
      <c r="C8" s="10"/>
      <c r="D8" s="10"/>
      <c r="E8" s="10"/>
    </row>
    <row r="9" ht="17" spans="1:5">
      <c r="A9" s="4" t="s">
        <v>203</v>
      </c>
      <c r="B9" s="13" t="s">
        <v>253</v>
      </c>
      <c r="C9" s="10"/>
      <c r="D9" s="10"/>
      <c r="E9" s="10"/>
    </row>
    <row r="10" ht="17" spans="1:5">
      <c r="A10" s="4" t="s">
        <v>207</v>
      </c>
      <c r="B10" s="13" t="s">
        <v>254</v>
      </c>
      <c r="C10" s="10"/>
      <c r="D10" s="10"/>
      <c r="E10" s="10"/>
    </row>
    <row r="11" ht="17" spans="1:5">
      <c r="A11" s="4" t="s">
        <v>211</v>
      </c>
      <c r="B11" s="13" t="s">
        <v>255</v>
      </c>
      <c r="C11" s="10"/>
      <c r="D11" s="10"/>
      <c r="E11" s="10"/>
    </row>
    <row r="12" ht="17" spans="1:5">
      <c r="A12" s="4" t="s">
        <v>215</v>
      </c>
      <c r="B12" s="13" t="s">
        <v>256</v>
      </c>
      <c r="C12" s="10"/>
      <c r="D12" s="10"/>
      <c r="E12" s="10"/>
    </row>
    <row r="13" ht="17" spans="1:5">
      <c r="A13" s="4" t="s">
        <v>219</v>
      </c>
      <c r="B13" s="13" t="s">
        <v>257</v>
      </c>
      <c r="C13" s="10"/>
      <c r="D13" s="10"/>
      <c r="E13" s="10"/>
    </row>
    <row r="15" ht="17" spans="1:5">
      <c r="A15" s="3" t="s">
        <v>258</v>
      </c>
      <c r="B15" s="3" t="s">
        <v>63</v>
      </c>
      <c r="C15" s="3" t="s">
        <v>64</v>
      </c>
      <c r="D15" s="3" t="s">
        <v>259</v>
      </c>
      <c r="E15" s="3" t="s">
        <v>260</v>
      </c>
    </row>
    <row r="16" spans="1:5">
      <c r="A16" s="8" t="s">
        <v>261</v>
      </c>
      <c r="B16" s="13" t="s">
        <v>66</v>
      </c>
      <c r="C16" s="4">
        <v>12</v>
      </c>
      <c r="D16" s="14"/>
      <c r="E16" s="10"/>
    </row>
    <row r="17" spans="1:5">
      <c r="A17" s="15"/>
      <c r="B17" s="13" t="s">
        <v>71</v>
      </c>
      <c r="C17" s="4">
        <v>8</v>
      </c>
      <c r="D17" s="14"/>
      <c r="E17" s="10"/>
    </row>
    <row r="18" spans="1:5">
      <c r="A18" s="15"/>
      <c r="B18" s="13" t="s">
        <v>76</v>
      </c>
      <c r="C18" s="4">
        <v>6</v>
      </c>
      <c r="D18" s="14"/>
      <c r="E18" s="10"/>
    </row>
    <row r="19" spans="1:5">
      <c r="A19" s="16"/>
      <c r="B19" s="13" t="s">
        <v>81</v>
      </c>
      <c r="C19" s="4">
        <v>4</v>
      </c>
      <c r="D19" s="14"/>
      <c r="E19" s="10"/>
    </row>
    <row r="20" spans="1:5">
      <c r="A20" s="8" t="s">
        <v>262</v>
      </c>
      <c r="B20" s="13" t="s">
        <v>87</v>
      </c>
      <c r="C20" s="4">
        <v>4</v>
      </c>
      <c r="D20" s="14"/>
      <c r="E20" s="10"/>
    </row>
    <row r="21" spans="1:5">
      <c r="A21" s="15"/>
      <c r="B21" s="13" t="s">
        <v>263</v>
      </c>
      <c r="C21" s="4">
        <v>5</v>
      </c>
      <c r="D21" s="14"/>
      <c r="E21" s="10"/>
    </row>
    <row r="22" spans="1:5">
      <c r="A22" s="15"/>
      <c r="B22" s="13" t="s">
        <v>97</v>
      </c>
      <c r="C22" s="4">
        <v>6</v>
      </c>
      <c r="D22" s="14"/>
      <c r="E22" s="10"/>
    </row>
    <row r="23" spans="1:5">
      <c r="A23" s="16"/>
      <c r="B23" s="13" t="s">
        <v>102</v>
      </c>
      <c r="C23" s="4">
        <v>5</v>
      </c>
      <c r="D23" s="14"/>
      <c r="E23" s="10"/>
    </row>
    <row r="24" spans="1:5">
      <c r="A24" s="8" t="s">
        <v>264</v>
      </c>
      <c r="B24" s="13" t="s">
        <v>108</v>
      </c>
      <c r="C24" s="4">
        <v>6</v>
      </c>
      <c r="D24" s="14"/>
      <c r="E24" s="10"/>
    </row>
    <row r="25" spans="1:5">
      <c r="A25" s="15"/>
      <c r="B25" s="13" t="s">
        <v>113</v>
      </c>
      <c r="C25" s="4">
        <v>7</v>
      </c>
      <c r="D25" s="14"/>
      <c r="E25" s="10"/>
    </row>
    <row r="26" spans="1:5">
      <c r="A26" s="15"/>
      <c r="B26" s="13" t="s">
        <v>118</v>
      </c>
      <c r="C26" s="4">
        <v>10</v>
      </c>
      <c r="D26" s="14"/>
      <c r="E26" s="10"/>
    </row>
    <row r="27" spans="1:5">
      <c r="A27" s="16"/>
      <c r="B27" s="13" t="s">
        <v>265</v>
      </c>
      <c r="C27" s="4">
        <v>7</v>
      </c>
      <c r="D27" s="14"/>
      <c r="E27" s="10"/>
    </row>
    <row r="28" spans="1:5">
      <c r="A28" s="17"/>
      <c r="B28" s="18" t="s">
        <v>266</v>
      </c>
      <c r="C28" s="19">
        <v>80</v>
      </c>
      <c r="D28" s="20">
        <f>SUM(D16:D27)</f>
        <v>0</v>
      </c>
      <c r="E28" s="17"/>
    </row>
    <row r="30" ht="46" customHeight="1" spans="1:5">
      <c r="A30" s="2" t="s">
        <v>267</v>
      </c>
    </row>
  </sheetData>
  <mergeCells count="17">
    <mergeCell ref="A1:E1"/>
    <mergeCell ref="B2:E2"/>
    <mergeCell ref="B3:E3"/>
    <mergeCell ref="B4:E4"/>
    <mergeCell ref="B5:E5"/>
    <mergeCell ref="A6:E6"/>
    <mergeCell ref="C7:D7"/>
    <mergeCell ref="C8:D8"/>
    <mergeCell ref="C9:D9"/>
    <mergeCell ref="C10:D10"/>
    <mergeCell ref="C11:D11"/>
    <mergeCell ref="C12:D12"/>
    <mergeCell ref="C13:D13"/>
    <mergeCell ref="A30:E30"/>
    <mergeCell ref="A16:A19"/>
    <mergeCell ref="A20:A23"/>
    <mergeCell ref="A24:A2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6.8"/>
  <cols>
    <col min="1" max="6" width="8" customWidth="1"/>
    <col min="7" max="7" width="13" customWidth="1"/>
    <col min="8" max="8" width="9" customWidth="1"/>
    <col min="9" max="9" width="12" customWidth="1"/>
    <col min="10" max="10" width="10" customWidth="1"/>
    <col min="11" max="11" width="11" customWidth="1"/>
    <col min="12" max="12" width="9" customWidth="1"/>
    <col min="13" max="13" width="10" customWidth="1"/>
  </cols>
  <sheetData>
    <row r="1" ht="24" customHeight="1" spans="1:13">
      <c r="A1" s="1" t="s">
        <v>268</v>
      </c>
    </row>
    <row r="2" ht="44" customHeight="1" spans="1:13">
      <c r="A2" s="2" t="s">
        <v>269</v>
      </c>
    </row>
    <row r="3" ht="34" spans="1:13">
      <c r="A3" s="3" t="s">
        <v>270</v>
      </c>
      <c r="B3" s="3" t="s">
        <v>271</v>
      </c>
      <c r="C3" s="3" t="s">
        <v>272</v>
      </c>
      <c r="D3" s="3" t="s">
        <v>273</v>
      </c>
      <c r="E3" s="3" t="s">
        <v>274</v>
      </c>
      <c r="F3" s="3" t="s">
        <v>275</v>
      </c>
      <c r="G3" s="3" t="s">
        <v>276</v>
      </c>
      <c r="H3" s="3" t="s">
        <v>277</v>
      </c>
      <c r="I3" s="3" t="s">
        <v>278</v>
      </c>
      <c r="J3" s="3" t="s">
        <v>279</v>
      </c>
      <c r="K3" s="3" t="s">
        <v>280</v>
      </c>
      <c r="L3" s="3" t="s">
        <v>281</v>
      </c>
      <c r="M3" s="3" t="s">
        <v>282</v>
      </c>
    </row>
    <row r="4" spans="1:13">
      <c r="A4" s="4">
        <v>1</v>
      </c>
      <c r="B4" s="5">
        <v>72</v>
      </c>
      <c r="C4" s="5">
        <v>68</v>
      </c>
      <c r="D4" s="5">
        <v>75</v>
      </c>
      <c r="E4" s="5">
        <v>40</v>
      </c>
      <c r="F4" s="5">
        <v>70</v>
      </c>
      <c r="G4" s="4">
        <f t="shared" ref="G4:G13" si="0">IFERROR(IF(COUNT(B4:F4)&gt;=5,(SUM(B4:F4)-MAX(B4:F4)-MIN(B4:F4))/(COUNT(B4:F4)-2),AVERAGE(B4:F4)),"")</f>
        <v>70</v>
      </c>
      <c r="H4" s="6">
        <v>16</v>
      </c>
      <c r="I4" s="4">
        <f t="shared" ref="I4:I13" si="1">IFERROR(ROUND(G4+H4,1),"")</f>
        <v>86</v>
      </c>
      <c r="J4" s="7">
        <v>9</v>
      </c>
      <c r="K4" s="8">
        <f t="shared" ref="K4:K13" si="2">IFERROR(ROUND(I4+MIN(20,J4),1),"")</f>
        <v>95</v>
      </c>
      <c r="L4" s="4">
        <f t="shared" ref="L4:L13" si="3">IFERROR(RANK(K4,$K$4:$K$13,0),"")</f>
        <v>4</v>
      </c>
      <c r="M4" s="4">
        <f t="shared" ref="M4:M13" si="4">IFERROR(ROUND((K4-AVERAGE($K$4:$K$13))/STDEVP($K$4:$K$13),2),"")</f>
        <v>0.63</v>
      </c>
    </row>
    <row r="5" spans="1:13">
      <c r="A5" s="4">
        <v>2</v>
      </c>
      <c r="B5" s="5">
        <v>60</v>
      </c>
      <c r="C5" s="5">
        <v>62</v>
      </c>
      <c r="D5" s="5">
        <v>58</v>
      </c>
      <c r="E5" s="5">
        <v>61</v>
      </c>
      <c r="F5" s="5">
        <v>59</v>
      </c>
      <c r="G5" s="4">
        <f t="shared" si="0"/>
        <v>60</v>
      </c>
      <c r="H5" s="6">
        <v>14</v>
      </c>
      <c r="I5" s="4">
        <f t="shared" si="1"/>
        <v>74</v>
      </c>
      <c r="J5" s="7">
        <v>5</v>
      </c>
      <c r="K5" s="8">
        <f t="shared" si="2"/>
        <v>79</v>
      </c>
      <c r="L5" s="4">
        <f t="shared" si="3"/>
        <v>7</v>
      </c>
      <c r="M5" s="4">
        <f t="shared" si="4"/>
        <v>-0.48</v>
      </c>
    </row>
    <row r="6" spans="1:13">
      <c r="A6" s="4">
        <v>3</v>
      </c>
      <c r="B6" s="5">
        <v>78</v>
      </c>
      <c r="C6" s="5">
        <v>80</v>
      </c>
      <c r="D6" s="5">
        <v>76</v>
      </c>
      <c r="E6" s="5">
        <v>79</v>
      </c>
      <c r="F6" s="5">
        <v>77</v>
      </c>
      <c r="G6" s="4">
        <f t="shared" si="0"/>
        <v>78</v>
      </c>
      <c r="H6" s="6">
        <v>19</v>
      </c>
      <c r="I6" s="4">
        <f t="shared" si="1"/>
        <v>97</v>
      </c>
      <c r="J6" s="7">
        <v>12</v>
      </c>
      <c r="K6" s="8">
        <f t="shared" si="2"/>
        <v>109</v>
      </c>
      <c r="L6" s="4">
        <f t="shared" si="3"/>
        <v>1</v>
      </c>
      <c r="M6" s="4">
        <f t="shared" si="4"/>
        <v>1.59</v>
      </c>
    </row>
    <row r="7" spans="1:13">
      <c r="A7" s="4">
        <v>4</v>
      </c>
      <c r="B7" s="5">
        <v>55</v>
      </c>
      <c r="C7" s="5">
        <v>57</v>
      </c>
      <c r="D7" s="5">
        <v>50</v>
      </c>
      <c r="E7" s="5">
        <v>58</v>
      </c>
      <c r="F7" s="5">
        <v>54</v>
      </c>
      <c r="G7" s="4">
        <f t="shared" si="0"/>
        <v>55.3333333333333</v>
      </c>
      <c r="H7" s="6">
        <v>12</v>
      </c>
      <c r="I7" s="4">
        <f t="shared" si="1"/>
        <v>67.3</v>
      </c>
      <c r="J7" s="7">
        <v>3</v>
      </c>
      <c r="K7" s="8">
        <f t="shared" si="2"/>
        <v>70.3</v>
      </c>
      <c r="L7" s="4">
        <f t="shared" si="3"/>
        <v>9</v>
      </c>
      <c r="M7" s="4">
        <f t="shared" si="4"/>
        <v>-1.08</v>
      </c>
    </row>
    <row r="8" spans="1:13">
      <c r="A8" s="4">
        <v>5</v>
      </c>
      <c r="B8" s="5">
        <v>66</v>
      </c>
      <c r="C8" s="5">
        <v>64</v>
      </c>
      <c r="D8" s="5">
        <v>68</v>
      </c>
      <c r="E8" s="5">
        <v>65</v>
      </c>
      <c r="F8" s="5">
        <v>67</v>
      </c>
      <c r="G8" s="4">
        <f t="shared" si="0"/>
        <v>66</v>
      </c>
      <c r="H8" s="6">
        <v>15</v>
      </c>
      <c r="I8" s="4">
        <f t="shared" si="1"/>
        <v>81</v>
      </c>
      <c r="J8" s="7">
        <v>7</v>
      </c>
      <c r="K8" s="8">
        <f t="shared" si="2"/>
        <v>88</v>
      </c>
      <c r="L8" s="4">
        <f t="shared" si="3"/>
        <v>5</v>
      </c>
      <c r="M8" s="4">
        <f t="shared" si="4"/>
        <v>0.14</v>
      </c>
    </row>
    <row r="9" spans="1:13">
      <c r="A9" s="4">
        <v>6</v>
      </c>
      <c r="B9" s="5">
        <v>70</v>
      </c>
      <c r="C9" s="5">
        <v>72</v>
      </c>
      <c r="D9" s="5">
        <v>69</v>
      </c>
      <c r="E9" s="5">
        <v>71</v>
      </c>
      <c r="F9" s="5">
        <v>73</v>
      </c>
      <c r="G9" s="4">
        <f t="shared" si="0"/>
        <v>71</v>
      </c>
      <c r="H9" s="6">
        <v>17</v>
      </c>
      <c r="I9" s="4">
        <f t="shared" si="1"/>
        <v>88</v>
      </c>
      <c r="J9" s="7">
        <v>10</v>
      </c>
      <c r="K9" s="8">
        <f t="shared" si="2"/>
        <v>98</v>
      </c>
      <c r="L9" s="4">
        <f t="shared" si="3"/>
        <v>3</v>
      </c>
      <c r="M9" s="4">
        <f t="shared" si="4"/>
        <v>0.83</v>
      </c>
    </row>
    <row r="10" spans="1:13">
      <c r="A10" s="4">
        <v>7</v>
      </c>
      <c r="B10" s="5">
        <v>48</v>
      </c>
      <c r="C10" s="5">
        <v>52</v>
      </c>
      <c r="D10" s="5">
        <v>50</v>
      </c>
      <c r="E10" s="5">
        <v>49</v>
      </c>
      <c r="F10" s="5">
        <v>51</v>
      </c>
      <c r="G10" s="4">
        <f t="shared" si="0"/>
        <v>50</v>
      </c>
      <c r="H10" s="6">
        <v>10</v>
      </c>
      <c r="I10" s="4">
        <f t="shared" si="1"/>
        <v>60</v>
      </c>
      <c r="J10" s="7">
        <v>2</v>
      </c>
      <c r="K10" s="8">
        <f t="shared" si="2"/>
        <v>62</v>
      </c>
      <c r="L10" s="4">
        <f t="shared" si="3"/>
        <v>10</v>
      </c>
      <c r="M10" s="4">
        <f t="shared" si="4"/>
        <v>-1.65</v>
      </c>
    </row>
    <row r="11" spans="1:13">
      <c r="A11" s="4">
        <v>8</v>
      </c>
      <c r="B11" s="5">
        <v>63</v>
      </c>
      <c r="C11" s="5">
        <v>65</v>
      </c>
      <c r="D11" s="5">
        <v>61</v>
      </c>
      <c r="E11" s="5">
        <v>64</v>
      </c>
      <c r="F11" s="5">
        <v>62</v>
      </c>
      <c r="G11" s="4">
        <f t="shared" si="0"/>
        <v>63</v>
      </c>
      <c r="H11" s="6">
        <v>13</v>
      </c>
      <c r="I11" s="4">
        <f t="shared" si="1"/>
        <v>76</v>
      </c>
      <c r="J11" s="7">
        <v>6</v>
      </c>
      <c r="K11" s="8">
        <f t="shared" si="2"/>
        <v>82</v>
      </c>
      <c r="L11" s="4">
        <f t="shared" si="3"/>
        <v>6</v>
      </c>
      <c r="M11" s="4">
        <f t="shared" si="4"/>
        <v>-0.27</v>
      </c>
    </row>
    <row r="12" spans="1:13">
      <c r="A12" s="4">
        <v>9</v>
      </c>
      <c r="B12" s="5">
        <v>74</v>
      </c>
      <c r="C12" s="5">
        <v>73</v>
      </c>
      <c r="D12" s="5">
        <v>75</v>
      </c>
      <c r="E12" s="5">
        <v>72</v>
      </c>
      <c r="F12" s="5">
        <v>76</v>
      </c>
      <c r="G12" s="4">
        <f t="shared" si="0"/>
        <v>74</v>
      </c>
      <c r="H12" s="6">
        <v>18</v>
      </c>
      <c r="I12" s="4">
        <f t="shared" si="1"/>
        <v>92</v>
      </c>
      <c r="J12" s="7">
        <v>11</v>
      </c>
      <c r="K12" s="8">
        <f t="shared" si="2"/>
        <v>103</v>
      </c>
      <c r="L12" s="4">
        <f t="shared" si="3"/>
        <v>2</v>
      </c>
      <c r="M12" s="4">
        <f t="shared" si="4"/>
        <v>1.18</v>
      </c>
    </row>
    <row r="13" spans="1:13">
      <c r="A13" s="4">
        <v>10</v>
      </c>
      <c r="B13" s="5">
        <v>58</v>
      </c>
      <c r="C13" s="5">
        <v>60</v>
      </c>
      <c r="D13" s="5">
        <v>56</v>
      </c>
      <c r="E13" s="5">
        <v>59</v>
      </c>
      <c r="F13" s="5">
        <v>57</v>
      </c>
      <c r="G13" s="4">
        <f t="shared" si="0"/>
        <v>58</v>
      </c>
      <c r="H13" s="6">
        <v>11</v>
      </c>
      <c r="I13" s="4">
        <f t="shared" si="1"/>
        <v>69</v>
      </c>
      <c r="J13" s="7">
        <v>4</v>
      </c>
      <c r="K13" s="8">
        <f t="shared" si="2"/>
        <v>73</v>
      </c>
      <c r="L13" s="4">
        <f t="shared" si="3"/>
        <v>8</v>
      </c>
      <c r="M13" s="4">
        <f t="shared" si="4"/>
        <v>-0.89</v>
      </c>
    </row>
    <row r="15" ht="44" customHeight="1" spans="1:13">
      <c r="A15" s="2" t="s">
        <v>283</v>
      </c>
    </row>
  </sheetData>
  <mergeCells count="3">
    <mergeCell ref="A1:M1"/>
    <mergeCell ref="A2:M2"/>
    <mergeCell ref="A15:M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计分规则总览</vt:lpstr>
      <vt:lpstr>详细评分细则</vt:lpstr>
      <vt:lpstr>打分规则与流程</vt:lpstr>
      <vt:lpstr>工程门槛与Skill加分</vt:lpstr>
      <vt:lpstr>评委打分表(模板)</vt:lpstr>
      <vt:lpstr>赛道聚合与排名(模板)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Friedhelm</cp:lastModifiedBy>
  <dcterms:created xsi:type="dcterms:W3CDTF">2026-06-02T22:39:00Z</dcterms:created>
  <dcterms:modified xsi:type="dcterms:W3CDTF">2026-06-02T22:43:18Z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A39A6D3C322F6F8605EC1E6A276FC960_42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